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说明" sheetId="1" state="visible" r:id="rId1"/>
    <sheet xmlns:r="http://schemas.openxmlformats.org/officeDocument/2006/relationships" name="入口与列表" sheetId="2" state="visible" r:id="rId2"/>
    <sheet xmlns:r="http://schemas.openxmlformats.org/officeDocument/2006/relationships" name="创建与编辑" sheetId="3" state="visible" r:id="rId3"/>
    <sheet xmlns:r="http://schemas.openxmlformats.org/officeDocument/2006/relationships" name="组卷规则" sheetId="4" state="visible" r:id="rId4"/>
    <sheet xmlns:r="http://schemas.openxmlformats.org/officeDocument/2006/relationships" name="进行中与恢复" sheetId="5" state="visible" r:id="rId5"/>
    <sheet xmlns:r="http://schemas.openxmlformats.org/officeDocument/2006/relationships" name="额度与权益" sheetId="6" state="visible" r:id="rId6"/>
    <sheet xmlns:r="http://schemas.openxmlformats.org/officeDocument/2006/relationships" name="答题与交卷" sheetId="7" state="visible" r:id="rId7"/>
    <sheet xmlns:r="http://schemas.openxmlformats.org/officeDocument/2006/relationships" name="统计与历史" sheetId="8" state="visible" r:id="rId8"/>
    <sheet xmlns:r="http://schemas.openxmlformats.org/officeDocument/2006/relationships" name="异常与后台联动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color rgb="00375A7F"/>
      <sz val="10"/>
    </font>
    <font>
      <name val="Microsoft YaHei"/>
      <b val="1"/>
      <color rgb="00FFFFFF"/>
      <sz val="10"/>
    </font>
    <font>
      <name val="Microsoft YaHei"/>
      <color rgb="00243447"/>
      <sz val="10"/>
    </font>
    <font>
      <name val="Microsoft YaHei"/>
      <b val="1"/>
      <color rgb="00FFFFFF"/>
      <sz val="11"/>
    </font>
    <font>
      <name val="Microsoft YaHei"/>
      <b val="1"/>
      <color rgb="00243447"/>
      <sz val="10"/>
    </font>
  </fonts>
  <fills count="13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2F75B5"/>
      </patternFill>
    </fill>
    <fill>
      <patternFill patternType="solid">
        <fgColor rgb="00DCE6F1"/>
      </patternFill>
    </fill>
    <fill>
      <patternFill patternType="solid">
        <fgColor rgb="00FFF8E1"/>
      </patternFill>
    </fill>
    <fill>
      <patternFill patternType="solid">
        <fgColor rgb="00FFFFFF"/>
      </patternFill>
    </fill>
    <fill>
      <patternFill patternType="solid">
        <fgColor rgb="00F2F6FA"/>
      </patternFill>
    </fill>
    <fill>
      <patternFill patternType="solid">
        <fgColor rgb="001F4E78"/>
      </patternFill>
    </fill>
    <fill>
      <patternFill patternType="solid">
        <fgColor rgb="00D9EAD3"/>
      </patternFill>
    </fill>
    <fill>
      <patternFill patternType="solid">
        <fgColor rgb="00D6E4F0"/>
      </patternFill>
    </fill>
    <fill>
      <patternFill patternType="solid">
        <fgColor rgb="00F7FAFC"/>
      </patternFill>
    </fill>
  </fills>
  <borders count="3">
    <border>
      <left/>
      <right/>
      <top/>
      <bottom/>
      <diagonal/>
    </border>
    <border>
      <bottom style="thin">
        <color rgb="00C9D4E0"/>
      </bottom>
    </border>
    <border>
      <top style="thin">
        <color rgb="00C9D4E0"/>
      </top>
      <bottom style="thin">
        <color rgb="00C9D4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5" fontId="4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/>
    </xf>
    <xf numFmtId="0" fontId="6" fillId="11" borderId="0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8">
    <dxf>
      <font>
        <name val="Microsoft YaHei"/>
        <b val="1"/>
        <color rgb="009C0006"/>
        <sz val="10"/>
      </font>
      <fill>
        <patternFill patternType="solid">
          <fgColor rgb="00F4CCCC"/>
        </patternFill>
      </fill>
    </dxf>
    <dxf>
      <font>
        <name val="Microsoft YaHei"/>
        <b val="1"/>
        <color rgb="009C5700"/>
        <sz val="10"/>
      </font>
      <fill>
        <patternFill patternType="solid">
          <fgColor rgb="00FCE5CD"/>
        </patternFill>
      </fill>
    </dxf>
    <dxf>
      <font>
        <name val="Microsoft YaHei"/>
        <b val="1"/>
        <color rgb="00274E13"/>
        <sz val="10"/>
      </font>
      <fill>
        <patternFill patternType="solid">
          <fgColor rgb="00D9EAD3"/>
        </patternFill>
      </fill>
    </dxf>
    <dxf>
      <font>
        <name val="Microsoft YaHei"/>
        <b val="1"/>
        <color rgb="005B0F00"/>
        <sz val="10"/>
      </font>
      <fill>
        <patternFill patternType="solid">
          <fgColor rgb="00EADCF8"/>
        </patternFill>
      </fill>
    </dxf>
    <dxf>
      <font>
        <name val="Microsoft YaHei"/>
        <b val="1"/>
        <color rgb="00666666"/>
        <sz val="10"/>
      </font>
      <fill>
        <patternFill patternType="solid">
          <fgColor rgb="00E7E6E6"/>
        </patternFill>
      </fill>
    </dxf>
    <dxf>
      <font>
        <name val="Microsoft YaHei"/>
        <b val="1"/>
        <color rgb="00FFFFFF"/>
        <sz val="10"/>
      </font>
      <fill>
        <patternFill patternType="solid">
          <fgColor rgb="00990000"/>
        </patternFill>
      </fill>
    </dxf>
    <dxf>
      <font>
        <name val="Microsoft YaHei"/>
        <b val="1"/>
        <color rgb="007F6000"/>
        <sz val="10"/>
      </font>
      <fill>
        <patternFill patternType="solid">
          <fgColor rgb="00FFF2CC"/>
        </patternFill>
      </fill>
    </dxf>
    <dxf>
      <font>
        <name val="Microsoft YaHei"/>
        <b val="1"/>
        <color rgb="00375623"/>
        <sz val="1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ReportManualSummaryTable" displayName="ReportManualSummaryTable" ref="A9:I18" headerRowCount="1">
  <autoFilter ref="A9:I18"/>
  <tableColumns count="9">
    <tableColumn id="1" name="模块"/>
    <tableColumn id="2" name="用例数"/>
    <tableColumn id="3" name="P0"/>
    <tableColumn id="4" name="未执行"/>
    <tableColumn id="5" name="是否通过-是"/>
    <tableColumn id="6" name="是否通过-否"/>
    <tableColumn id="7" name="严重缺陷"/>
    <tableColumn id="8" name="已完成修复"/>
    <tableColumn id="9" name="回归通过"/>
  </tableColumns>
  <tableStyleInfo name="TableStyleMedium2" showRowStripes="1"/>
</table>
</file>

<file path=xl/tables/table2.xml><?xml version="1.0" encoding="utf-8"?>
<table xmlns="http://schemas.openxmlformats.org/spreadsheetml/2006/main" id="2" name="ReportManualCases01" displayName="ReportManualCases01" ref="A3:P7" headerRowCount="1">
  <autoFilter ref="A3:P7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portManualCases02" displayName="ReportManualCases02" ref="A3:P9" headerRowCount="1">
  <autoFilter ref="A3:P9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portManualCases03" displayName="ReportManualCases03" ref="A3:P8" headerRowCount="1">
  <autoFilter ref="A3:P8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portManualCases04" displayName="ReportManualCases04" ref="A3:P7" headerRowCount="1">
  <autoFilter ref="A3:P7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portManualCases05" displayName="ReportManualCases05" ref="A3:P8" headerRowCount="1">
  <autoFilter ref="A3:P8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eportManualCases06" displayName="ReportManualCases06" ref="A3:P7" headerRowCount="1">
  <autoFilter ref="A3:P7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eportManualCases07" displayName="ReportManualCases07" ref="A3:P8" headerRowCount="1">
  <autoFilter ref="A3:P8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ReportManualCases08" displayName="ReportManualCases08" ref="A3:P6" headerRowCount="1">
  <autoFilter ref="A3:P6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18" customWidth="1" min="4" max="4"/>
    <col width="24" customWidth="1" min="5" max="5"/>
    <col width="18" customWidth="1" min="6" max="6"/>
    <col width="18" customWidth="1" min="7" max="7"/>
    <col width="22" customWidth="1" min="8" max="8"/>
    <col width="18" customWidth="1" min="9" max="9"/>
  </cols>
  <sheetData>
    <row r="1" ht="38" customHeight="1">
      <c r="A1" s="1" t="inlineStr">
        <is>
          <t>4.12 练习册人工测试用例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2" t="inlineStr">
        <is>
          <t>本轮人工P0：覆盖练习本创建、组卷、唯一进行中、额度、作答交卷、统计历史、错题和后台联动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30" customHeight="1">
      <c r="A4" s="3" t="inlineStr">
        <is>
          <t>文档版本</t>
        </is>
      </c>
      <c r="B4" s="4" t="inlineStr">
        <is>
          <t>当前版（2026-08-10）</t>
        </is>
      </c>
      <c r="C4" s="4" t="n"/>
      <c r="D4" s="3" t="inlineStr">
        <is>
          <t>生成日期</t>
        </is>
      </c>
      <c r="E4" s="5" t="n">
        <v>46244</v>
      </c>
      <c r="F4" s="4" t="n"/>
      <c r="G4" s="3" t="inlineStr">
        <is>
          <t>用例总数</t>
        </is>
      </c>
      <c r="H4" s="4">
        <f>SUM(B10:B17)</f>
        <v/>
      </c>
      <c r="I4" s="4" t="n"/>
    </row>
    <row r="5" ht="36" customHeight="1">
      <c r="A5" s="3" t="inlineStr">
        <is>
          <t>需求来源</t>
        </is>
      </c>
      <c r="B5" s="4" t="inlineStr">
        <is>
          <t>文档/4-需求文档/4.12 练习册.md</t>
        </is>
      </c>
      <c r="C5" s="4" t="n"/>
      <c r="D5" s="4" t="n"/>
      <c r="E5" s="4" t="n"/>
      <c r="F5" s="4" t="n"/>
      <c r="G5" s="3" t="inlineStr">
        <is>
          <t>默认状态</t>
        </is>
      </c>
      <c r="H5" s="4" t="inlineStr">
        <is>
          <t>未执行</t>
        </is>
      </c>
      <c r="I5" s="4" t="n"/>
    </row>
    <row r="6" ht="42" customHeight="1">
      <c r="A6" s="3" t="inlineStr">
        <is>
          <t>关联规则</t>
        </is>
      </c>
      <c r="B6" s="4" t="inlineStr">
        <is>
          <t>4.2会员权益、4.6在线答题、4.1错题本；以4.12练习册专项规则及用户可观察行为为主</t>
        </is>
      </c>
      <c r="C6" s="4" t="n"/>
      <c r="D6" s="4" t="n"/>
      <c r="E6" s="4" t="n"/>
      <c r="F6" s="4" t="n"/>
      <c r="G6" s="4" t="n"/>
      <c r="H6" s="4" t="n"/>
      <c r="I6" s="4" t="n"/>
    </row>
    <row r="8">
      <c r="A8" s="6" t="inlineStr">
        <is>
          <t>模块覆盖统计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32" customHeight="1">
      <c r="A9" s="7" t="inlineStr">
        <is>
          <t>模块</t>
        </is>
      </c>
      <c r="B9" s="7" t="inlineStr">
        <is>
          <t>用例数</t>
        </is>
      </c>
      <c r="C9" s="7" t="inlineStr">
        <is>
          <t>P0</t>
        </is>
      </c>
      <c r="D9" s="7" t="inlineStr">
        <is>
          <t>未执行</t>
        </is>
      </c>
      <c r="E9" s="7" t="inlineStr">
        <is>
          <t>是否通过-是</t>
        </is>
      </c>
      <c r="F9" s="7" t="inlineStr">
        <is>
          <t>是否通过-否</t>
        </is>
      </c>
      <c r="G9" s="7" t="inlineStr">
        <is>
          <t>严重缺陷</t>
        </is>
      </c>
      <c r="H9" s="7" t="inlineStr">
        <is>
          <t>已完成修复</t>
        </is>
      </c>
      <c r="I9" s="7" t="inlineStr">
        <is>
          <t>回归通过</t>
        </is>
      </c>
    </row>
    <row r="10" ht="26" customHeight="1">
      <c r="A10" s="8" t="inlineStr">
        <is>
          <t>入口与列表</t>
        </is>
      </c>
      <c r="B10" s="8">
        <f>COUNTA('入口与列表'!$A$4:$A$7)</f>
        <v/>
      </c>
      <c r="C10" s="8">
        <f>COUNTIF('入口与列表'!$D$4:$D$7,"P0")</f>
        <v/>
      </c>
      <c r="D10" s="8">
        <f>COUNTIF('入口与列表'!$J$4:$J$7,"未执行")</f>
        <v/>
      </c>
      <c r="E10" s="8">
        <f>COUNTIF('入口与列表'!$K$4:$K$7,"是")</f>
        <v/>
      </c>
      <c r="F10" s="8">
        <f>COUNTIF('入口与列表'!$K$4:$K$7,"否")</f>
        <v/>
      </c>
      <c r="G10" s="8">
        <f>COUNTIF('入口与列表'!$L$4:$L$7,"阻塞")+COUNTIF('入口与列表'!$L$4:$L$7,"高")</f>
        <v/>
      </c>
      <c r="H10" s="8">
        <f>COUNTIF('入口与列表'!$O$4:$O$7,"已完成")</f>
        <v/>
      </c>
      <c r="I10" s="8">
        <f>COUNTIF('入口与列表'!$P$4:$P$7,"通过")</f>
        <v/>
      </c>
    </row>
    <row r="11" ht="26" customHeight="1">
      <c r="A11" s="9" t="inlineStr">
        <is>
          <t>创建与编辑</t>
        </is>
      </c>
      <c r="B11" s="9">
        <f>COUNTA('创建与编辑'!$A$4:$A$9)</f>
        <v/>
      </c>
      <c r="C11" s="9">
        <f>COUNTIF('创建与编辑'!$D$4:$D$9,"P0")</f>
        <v/>
      </c>
      <c r="D11" s="9">
        <f>COUNTIF('创建与编辑'!$J$4:$J$9,"未执行")</f>
        <v/>
      </c>
      <c r="E11" s="9">
        <f>COUNTIF('创建与编辑'!$K$4:$K$9,"是")</f>
        <v/>
      </c>
      <c r="F11" s="9">
        <f>COUNTIF('创建与编辑'!$K$4:$K$9,"否")</f>
        <v/>
      </c>
      <c r="G11" s="9">
        <f>COUNTIF('创建与编辑'!$L$4:$L$9,"阻塞")+COUNTIF('创建与编辑'!$L$4:$L$9,"高")</f>
        <v/>
      </c>
      <c r="H11" s="9">
        <f>COUNTIF('创建与编辑'!$O$4:$O$9,"已完成")</f>
        <v/>
      </c>
      <c r="I11" s="9">
        <f>COUNTIF('创建与编辑'!$P$4:$P$9,"通过")</f>
        <v/>
      </c>
    </row>
    <row r="12" ht="26" customHeight="1">
      <c r="A12" s="8" t="inlineStr">
        <is>
          <t>组卷规则</t>
        </is>
      </c>
      <c r="B12" s="8">
        <f>COUNTA('组卷规则'!$A$4:$A$8)</f>
        <v/>
      </c>
      <c r="C12" s="8">
        <f>COUNTIF('组卷规则'!$D$4:$D$8,"P0")</f>
        <v/>
      </c>
      <c r="D12" s="8">
        <f>COUNTIF('组卷规则'!$J$4:$J$8,"未执行")</f>
        <v/>
      </c>
      <c r="E12" s="8">
        <f>COUNTIF('组卷规则'!$K$4:$K$8,"是")</f>
        <v/>
      </c>
      <c r="F12" s="8">
        <f>COUNTIF('组卷规则'!$K$4:$K$8,"否")</f>
        <v/>
      </c>
      <c r="G12" s="8">
        <f>COUNTIF('组卷规则'!$L$4:$L$8,"阻塞")+COUNTIF('组卷规则'!$L$4:$L$8,"高")</f>
        <v/>
      </c>
      <c r="H12" s="8">
        <f>COUNTIF('组卷规则'!$O$4:$O$8,"已完成")</f>
        <v/>
      </c>
      <c r="I12" s="8">
        <f>COUNTIF('组卷规则'!$P$4:$P$8,"通过")</f>
        <v/>
      </c>
    </row>
    <row r="13" ht="26" customHeight="1">
      <c r="A13" s="9" t="inlineStr">
        <is>
          <t>进行中与恢复</t>
        </is>
      </c>
      <c r="B13" s="9">
        <f>COUNTA('进行中与恢复'!$A$4:$A$7)</f>
        <v/>
      </c>
      <c r="C13" s="9">
        <f>COUNTIF('进行中与恢复'!$D$4:$D$7,"P0")</f>
        <v/>
      </c>
      <c r="D13" s="9">
        <f>COUNTIF('进行中与恢复'!$J$4:$J$7,"未执行")</f>
        <v/>
      </c>
      <c r="E13" s="9">
        <f>COUNTIF('进行中与恢复'!$K$4:$K$7,"是")</f>
        <v/>
      </c>
      <c r="F13" s="9">
        <f>COUNTIF('进行中与恢复'!$K$4:$K$7,"否")</f>
        <v/>
      </c>
      <c r="G13" s="9">
        <f>COUNTIF('进行中与恢复'!$L$4:$L$7,"阻塞")+COUNTIF('进行中与恢复'!$L$4:$L$7,"高")</f>
        <v/>
      </c>
      <c r="H13" s="9">
        <f>COUNTIF('进行中与恢复'!$O$4:$O$7,"已完成")</f>
        <v/>
      </c>
      <c r="I13" s="9">
        <f>COUNTIF('进行中与恢复'!$P$4:$P$7,"通过")</f>
        <v/>
      </c>
    </row>
    <row r="14" ht="26" customHeight="1">
      <c r="A14" s="8" t="inlineStr">
        <is>
          <t>额度与权益</t>
        </is>
      </c>
      <c r="B14" s="8">
        <f>COUNTA('额度与权益'!$A$4:$A$8)</f>
        <v/>
      </c>
      <c r="C14" s="8">
        <f>COUNTIF('额度与权益'!$D$4:$D$8,"P0")</f>
        <v/>
      </c>
      <c r="D14" s="8">
        <f>COUNTIF('额度与权益'!$J$4:$J$8,"未执行")</f>
        <v/>
      </c>
      <c r="E14" s="8">
        <f>COUNTIF('额度与权益'!$K$4:$K$8,"是")</f>
        <v/>
      </c>
      <c r="F14" s="8">
        <f>COUNTIF('额度与权益'!$K$4:$K$8,"否")</f>
        <v/>
      </c>
      <c r="G14" s="8">
        <f>COUNTIF('额度与权益'!$L$4:$L$8,"阻塞")+COUNTIF('额度与权益'!$L$4:$L$8,"高")</f>
        <v/>
      </c>
      <c r="H14" s="8">
        <f>COUNTIF('额度与权益'!$O$4:$O$8,"已完成")</f>
        <v/>
      </c>
      <c r="I14" s="8">
        <f>COUNTIF('额度与权益'!$P$4:$P$8,"通过")</f>
        <v/>
      </c>
    </row>
    <row r="15" ht="26" customHeight="1">
      <c r="A15" s="9" t="inlineStr">
        <is>
          <t>答题与交卷</t>
        </is>
      </c>
      <c r="B15" s="9">
        <f>COUNTA('答题与交卷'!$A$4:$A$7)</f>
        <v/>
      </c>
      <c r="C15" s="9">
        <f>COUNTIF('答题与交卷'!$D$4:$D$7,"P0")</f>
        <v/>
      </c>
      <c r="D15" s="9">
        <f>COUNTIF('答题与交卷'!$J$4:$J$7,"未执行")</f>
        <v/>
      </c>
      <c r="E15" s="9">
        <f>COUNTIF('答题与交卷'!$K$4:$K$7,"是")</f>
        <v/>
      </c>
      <c r="F15" s="9">
        <f>COUNTIF('答题与交卷'!$K$4:$K$7,"否")</f>
        <v/>
      </c>
      <c r="G15" s="9">
        <f>COUNTIF('答题与交卷'!$L$4:$L$7,"阻塞")+COUNTIF('答题与交卷'!$L$4:$L$7,"高")</f>
        <v/>
      </c>
      <c r="H15" s="9">
        <f>COUNTIF('答题与交卷'!$O$4:$O$7,"已完成")</f>
        <v/>
      </c>
      <c r="I15" s="9">
        <f>COUNTIF('答题与交卷'!$P$4:$P$7,"通过")</f>
        <v/>
      </c>
    </row>
    <row r="16" ht="26" customHeight="1">
      <c r="A16" s="8" t="inlineStr">
        <is>
          <t>统计与历史</t>
        </is>
      </c>
      <c r="B16" s="8">
        <f>COUNTA('统计与历史'!$A$4:$A$8)</f>
        <v/>
      </c>
      <c r="C16" s="8">
        <f>COUNTIF('统计与历史'!$D$4:$D$8,"P0")</f>
        <v/>
      </c>
      <c r="D16" s="8">
        <f>COUNTIF('统计与历史'!$J$4:$J$8,"未执行")</f>
        <v/>
      </c>
      <c r="E16" s="8">
        <f>COUNTIF('统计与历史'!$K$4:$K$8,"是")</f>
        <v/>
      </c>
      <c r="F16" s="8">
        <f>COUNTIF('统计与历史'!$K$4:$K$8,"否")</f>
        <v/>
      </c>
      <c r="G16" s="8">
        <f>COUNTIF('统计与历史'!$L$4:$L$8,"阻塞")+COUNTIF('统计与历史'!$L$4:$L$8,"高")</f>
        <v/>
      </c>
      <c r="H16" s="8">
        <f>COUNTIF('统计与历史'!$O$4:$O$8,"已完成")</f>
        <v/>
      </c>
      <c r="I16" s="8">
        <f>COUNTIF('统计与历史'!$P$4:$P$8,"通过")</f>
        <v/>
      </c>
    </row>
    <row r="17" ht="26" customHeight="1">
      <c r="A17" s="9" t="inlineStr">
        <is>
          <t>异常与后台联动</t>
        </is>
      </c>
      <c r="B17" s="9">
        <f>COUNTA('异常与后台联动'!$A$4:$A$6)</f>
        <v/>
      </c>
      <c r="C17" s="9">
        <f>COUNTIF('异常与后台联动'!$D$4:$D$6,"P0")</f>
        <v/>
      </c>
      <c r="D17" s="9">
        <f>COUNTIF('异常与后台联动'!$J$4:$J$6,"未执行")</f>
        <v/>
      </c>
      <c r="E17" s="9">
        <f>COUNTIF('异常与后台联动'!$K$4:$K$6,"是")</f>
        <v/>
      </c>
      <c r="F17" s="9">
        <f>COUNTIF('异常与后台联动'!$K$4:$K$6,"否")</f>
        <v/>
      </c>
      <c r="G17" s="9">
        <f>COUNTIF('异常与后台联动'!$L$4:$L$6,"阻塞")+COUNTIF('异常与后台联动'!$L$4:$L$6,"高")</f>
        <v/>
      </c>
      <c r="H17" s="9">
        <f>COUNTIF('异常与后台联动'!$O$4:$O$6,"已完成")</f>
        <v/>
      </c>
      <c r="I17" s="9">
        <f>COUNTIF('异常与后台联动'!$P$4:$P$6,"通过")</f>
        <v/>
      </c>
    </row>
    <row r="18" ht="28" customHeight="1">
      <c r="A18" s="10" t="inlineStr">
        <is>
          <t>合计</t>
        </is>
      </c>
      <c r="B18" s="10">
        <f>SUM(B10:B17)</f>
        <v/>
      </c>
      <c r="C18" s="10">
        <f>SUM(C10:C17)</f>
        <v/>
      </c>
      <c r="D18" s="10">
        <f>SUM(D10:D17)</f>
        <v/>
      </c>
      <c r="E18" s="10">
        <f>SUM(E10:E17)</f>
        <v/>
      </c>
      <c r="F18" s="10">
        <f>SUM(F10:F17)</f>
        <v/>
      </c>
      <c r="G18" s="10">
        <f>SUM(G10:G17)</f>
        <v/>
      </c>
      <c r="H18" s="10">
        <f>SUM(H10:H17)</f>
        <v/>
      </c>
      <c r="I18" s="10">
        <f>SUM(I10:I17)</f>
        <v/>
      </c>
    </row>
    <row r="20">
      <c r="A20" s="6" t="inlineStr">
        <is>
          <t>使用说明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38" customHeight="1">
      <c r="A21" s="11" t="inlineStr">
        <is>
          <t>执行方式</t>
        </is>
      </c>
      <c r="B21" s="12" t="inlineStr">
        <is>
          <t>使用真实浏览器按编号步骤执行；失败、并发或后台归档场景使用预先准备的测试数据和管理员操作，不要求人工直接修改数据库。</t>
        </is>
      </c>
      <c r="C21" s="12" t="n"/>
      <c r="D21" s="12" t="n"/>
      <c r="E21" s="12" t="n"/>
      <c r="F21" s="12" t="n"/>
      <c r="G21" s="12" t="n"/>
      <c r="H21" s="12" t="n"/>
      <c r="I21" s="12" t="n"/>
    </row>
    <row r="22" ht="38" customHeight="1">
      <c r="A22" s="11" t="inlineStr">
        <is>
          <t>数据准备</t>
        </is>
      </c>
      <c r="B22" s="12" t="inlineStr">
        <is>
          <t>准备ESAT/TMUA免费用户、会员、管理员、不同额度、多个知识点与难度、进行中练习、历史记录和可归档题目样本。</t>
        </is>
      </c>
      <c r="C22" s="12" t="n"/>
      <c r="D22" s="12" t="n"/>
      <c r="E22" s="12" t="n"/>
      <c r="F22" s="12" t="n"/>
      <c r="G22" s="12" t="n"/>
      <c r="H22" s="12" t="n"/>
      <c r="I22" s="12" t="n"/>
    </row>
    <row r="23" ht="38" customHeight="1">
      <c r="A23" s="11" t="inlineStr">
        <is>
          <t>需求待确认</t>
        </is>
      </c>
      <c r="B23" s="12" t="inlineStr">
        <is>
          <t>剩余额度小于练习本设定题量时，本工作簿按4.12第1.4节执行：提示后可按剩余额度生成，且不修改练习本原设定题量。</t>
        </is>
      </c>
      <c r="C23" s="12" t="n"/>
      <c r="D23" s="12" t="n"/>
      <c r="E23" s="12" t="n"/>
      <c r="F23" s="12" t="n"/>
      <c r="G23" s="12" t="n"/>
      <c r="H23" s="12" t="n"/>
      <c r="I23" s="12" t="n"/>
    </row>
    <row r="24" ht="38" customHeight="1">
      <c r="A24" s="11" t="inlineStr">
        <is>
          <t>执行记录</t>
        </is>
      </c>
      <c r="B24" s="12" t="inlineStr">
        <is>
          <t>执行状态、是否通过、缺陷等级、实际结果、修复情况和回归情况为可编辑列；无缺陷编号列。</t>
        </is>
      </c>
      <c r="C24" s="12" t="n"/>
      <c r="D24" s="12" t="n"/>
      <c r="E24" s="12" t="n"/>
      <c r="F24" s="12" t="n"/>
      <c r="G24" s="12" t="n"/>
      <c r="H24" s="12" t="n"/>
      <c r="I24" s="12" t="n"/>
    </row>
    <row r="25" ht="38" customHeight="1">
      <c r="A25" s="11" t="inlineStr">
        <is>
          <t>非目标</t>
        </is>
      </c>
      <c r="B25" s="12" t="inlineStr">
        <is>
          <t>不覆盖STEP、练习本删除/复制/归档、教师共享、AI自适应、多选填空题，以及适合自动化批量枚举的字段长度与接口参数边界。</t>
        </is>
      </c>
      <c r="C25" s="12" t="n"/>
      <c r="D25" s="12" t="n"/>
      <c r="E25" s="12" t="n"/>
      <c r="F25" s="12" t="n"/>
      <c r="G25" s="12" t="n"/>
      <c r="H25" s="12" t="n"/>
      <c r="I25" s="12" t="n"/>
    </row>
  </sheetData>
  <mergeCells count="15">
    <mergeCell ref="E4:F4"/>
    <mergeCell ref="B21:I21"/>
    <mergeCell ref="A2:I2"/>
    <mergeCell ref="B25:I25"/>
    <mergeCell ref="B6:I6"/>
    <mergeCell ref="A20:I20"/>
    <mergeCell ref="B24:I24"/>
    <mergeCell ref="B5:F5"/>
    <mergeCell ref="A1:I1"/>
    <mergeCell ref="H5:I5"/>
    <mergeCell ref="A8:I8"/>
    <mergeCell ref="B22:I22"/>
    <mergeCell ref="H4:I4"/>
    <mergeCell ref="B23:I23"/>
    <mergeCell ref="B4:C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54" customWidth="1" min="8" max="8"/>
    <col width="56" customWidth="1" min="9" max="9"/>
    <col width="12" customWidth="1" min="10" max="10"/>
    <col width="12" customWidth="1" min="11" max="11"/>
    <col width="12" customWidth="1" min="12" max="12"/>
    <col width="30" customWidth="1" min="13" max="13"/>
    <col width="28" customWidth="1" min="14" max="14"/>
    <col width="14" customWidth="1" min="15" max="15"/>
    <col width="14" customWidth="1" min="16" max="16"/>
  </cols>
  <sheetData>
    <row r="1" ht="34" customHeight="1">
      <c r="A1" s="1" t="inlineStr">
        <is>
          <t>4.12 练习册人工测试用例 — 入口与列表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3" t="inlineStr">
        <is>
          <t>来源：文档/4-需求文档/4.12 练习册.md｜范围：P0人工回归｜按真实浏览器操作与可观察结果执行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 ht="36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112" customHeight="1">
      <c r="A4" s="14" t="inlineStr">
        <is>
          <t>WBK-ENTRY-001</t>
        </is>
      </c>
      <c r="B4" s="14" t="inlineStr">
        <is>
          <t>入口与列表</t>
        </is>
      </c>
      <c r="C4" s="15" t="inlineStr">
        <is>
          <t>未登录进入练习册并在登录后返回原考试</t>
        </is>
      </c>
      <c r="D4" s="14" t="inlineStr">
        <is>
          <t>P0</t>
        </is>
      </c>
      <c r="E4" s="14" t="inlineStr">
        <is>
          <t>权限</t>
        </is>
      </c>
      <c r="F4" s="15" t="inlineStr">
        <is>
          <t>浏览器未登录；ESAT下已有练习本</t>
        </is>
      </c>
      <c r="G4" s="15" t="inlineStr">
        <is>
          <t>入口=顶部练习册；目标考试=ESAT</t>
        </is>
      </c>
      <c r="H4" s="15" t="inlineStr">
        <is>
          <t>1. 在顶部选择ESAT并点击练习册入口
2. 尝试进入新建或开始类操作
3. 确认进入统一登录页且未创建练习
4. 使用有效学生账号完成登录
5. 核对返回练习册及当前考试
6. 重新点击原目标操作</t>
        </is>
      </c>
      <c r="I4" s="15" t="inlineStr">
        <is>
          <t>未登录用户不能创建或开始练习；登录成功后回到ESAT练习册，可继续原目标操作；登录前后均未额外创建练习。</t>
        </is>
      </c>
      <c r="J4" s="16" t="inlineStr">
        <is>
          <t>未执行</t>
        </is>
      </c>
      <c r="K4" s="16" t="n"/>
      <c r="L4" s="16" t="n"/>
      <c r="M4" s="17" t="n"/>
      <c r="N4" s="17" t="n"/>
      <c r="O4" s="16" t="n"/>
      <c r="P4" s="16" t="n"/>
    </row>
    <row r="5" ht="112" customHeight="1">
      <c r="A5" s="18" t="inlineStr">
        <is>
          <t>WBK-ENTRY-002</t>
        </is>
      </c>
      <c r="B5" s="18" t="inlineStr">
        <is>
          <t>入口与列表</t>
        </is>
      </c>
      <c r="C5" s="19" t="inlineStr">
        <is>
          <t>顶部切换ESAT与TMUA只展示当前考试内容</t>
        </is>
      </c>
      <c r="D5" s="18" t="inlineStr">
        <is>
          <t>P0</t>
        </is>
      </c>
      <c r="E5" s="18" t="inlineStr">
        <is>
          <t>流程</t>
        </is>
      </c>
      <c r="F5" s="19" t="inlineStr">
        <is>
          <t>同一学生在ESAT、TMUA均有练习本和历史</t>
        </is>
      </c>
      <c r="G5" s="19" t="inlineStr">
        <is>
          <t>ESAT练习本E；TMUA练习本T</t>
        </is>
      </c>
      <c r="H5" s="19" t="inlineStr">
        <is>
          <t>1. 选择ESAT进入练习册并记录可见练习本
2. 核对只出现E及ESAT临时练习
3. 顶部切换为TMUA并等待加载完成
4. 核对只出现T及TMUA临时练习
5. 再切回ESAT
6. 打开E的历史记录</t>
        </is>
      </c>
      <c r="I5" s="19" t="inlineStr">
        <is>
          <t>两个考试的数据严格隔离；切换后列表、临时练习和历史同步切换；再次回到ESAT时E及其历史保持不变。</t>
        </is>
      </c>
      <c r="J5" s="16" t="inlineStr">
        <is>
          <t>未执行</t>
        </is>
      </c>
      <c r="K5" s="16" t="n"/>
      <c r="L5" s="16" t="n"/>
      <c r="M5" s="17" t="n"/>
      <c r="N5" s="17" t="n"/>
      <c r="O5" s="16" t="n"/>
      <c r="P5" s="16" t="n"/>
    </row>
    <row r="6" ht="127" customHeight="1">
      <c r="A6" s="14" t="inlineStr">
        <is>
          <t>WBK-ENTRY-003</t>
        </is>
      </c>
      <c r="B6" s="14" t="inlineStr">
        <is>
          <t>入口与列表</t>
        </is>
      </c>
      <c r="C6" s="15" t="inlineStr">
        <is>
          <t>练习本首页字段、新建入口与行点击范围正确</t>
        </is>
      </c>
      <c r="D6" s="14" t="inlineStr">
        <is>
          <t>P0</t>
        </is>
      </c>
      <c r="E6" s="14" t="inlineStr">
        <is>
          <t>校验</t>
        </is>
      </c>
      <c r="F6" s="15" t="inlineStr">
        <is>
          <t>当前考试有一本已交卷且可编辑的练习本</t>
        </is>
      </c>
      <c r="G6" s="15" t="inlineStr">
        <is>
          <t>练习本名称、学科、知识点、题量、难度、时间、最近成绩、累计组数和题数均有已知值</t>
        </is>
      </c>
      <c r="H6" s="15" t="inlineStr">
        <is>
          <t>1. 进入练习册并记录页面标题、说明和返回试题库入口
2. 逐项核对练习本主行显示内容
3. 点击主行非按钮区域展开后再点击收起
4. 点击编辑并返回首页
5. 点击开始或继续按钮并返回首页
6. 核对列表末尾的新建练习本卡片
7. 完成本次页面核对并刷新一次</t>
        </is>
      </c>
      <c r="I6" s="15" t="inlineStr">
        <is>
          <t>页面与主行字段完整，各统计字段保持与已知值一致；非按钮区域只控制展开收起；编辑和开始类按钮不触发行展开；新建卡片位于所有练习本之后。</t>
        </is>
      </c>
      <c r="J6" s="16" t="inlineStr">
        <is>
          <t>未执行</t>
        </is>
      </c>
      <c r="K6" s="16" t="n"/>
      <c r="L6" s="16" t="n"/>
      <c r="M6" s="17" t="n"/>
      <c r="N6" s="17" t="n"/>
      <c r="O6" s="16" t="n"/>
      <c r="P6" s="16" t="n"/>
    </row>
    <row r="7" ht="112" customHeight="1">
      <c r="A7" s="18" t="inlineStr">
        <is>
          <t>WBK-ENTRY-004</t>
        </is>
      </c>
      <c r="B7" s="18" t="inlineStr">
        <is>
          <t>入口与列表</t>
        </is>
      </c>
      <c r="C7" s="19" t="inlineStr">
        <is>
          <t>临时练习系统行按有无记录显示且不可编辑</t>
        </is>
      </c>
      <c r="D7" s="18" t="inlineStr">
        <is>
          <t>P0</t>
        </is>
      </c>
      <c r="E7" s="18" t="inlineStr">
        <is>
          <t>流程</t>
        </is>
      </c>
      <c r="F7" s="19" t="inlineStr">
        <is>
          <t>准备有临时练习历史的账号A和无历史无进行中记录的账号B</t>
        </is>
      </c>
      <c r="G7" s="19" t="inlineStr">
        <is>
          <t>A含题库专项已交卷记录和一份可继续临时练习；B无临时记录</t>
        </is>
      </c>
      <c r="H7" s="19" t="inlineStr">
        <is>
          <t>1. 使用A进入当前考试练习册
2. 找到临时练习行并核对最近成绩、累计数据和继续入口
3. 展开历史并打开一条详情后返回
4. 确认该行没有编辑操作
5. 使用B进入同一考试练习册
6. 核对临时练习行是否出现</t>
        </is>
      </c>
      <c r="I7" s="19" t="inlineStr">
        <is>
          <t>A看到统一的临时练习系统行，可继续、展开历史和查看详情但不可编辑；B不显示临时练习行；两账号数据不混用。</t>
        </is>
      </c>
      <c r="J7" s="16" t="inlineStr">
        <is>
          <t>未执行</t>
        </is>
      </c>
      <c r="K7" s="16" t="n"/>
      <c r="L7" s="16" t="n"/>
      <c r="M7" s="17" t="n"/>
      <c r="N7" s="17" t="n"/>
      <c r="O7" s="16" t="n"/>
      <c r="P7" s="16" t="n"/>
    </row>
  </sheetData>
  <mergeCells count="2">
    <mergeCell ref="A1:P1"/>
    <mergeCell ref="A2:P2"/>
  </mergeCells>
  <conditionalFormatting sqref="D4:D7">
    <cfRule type="expression" priority="1" dxfId="0">
      <formula>$D4="P0"</formula>
    </cfRule>
    <cfRule type="expression" priority="2" dxfId="1">
      <formula>$D4="P1"</formula>
    </cfRule>
  </conditionalFormatting>
  <conditionalFormatting sqref="J4:J7">
    <cfRule type="expression" priority="3" dxfId="2">
      <formula>$J4="通过"</formula>
    </cfRule>
    <cfRule type="expression" priority="4" dxfId="0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7">
    <cfRule type="expression" priority="7" dxfId="2">
      <formula>$K4="是"</formula>
    </cfRule>
    <cfRule type="expression" priority="8" dxfId="0">
      <formula>$K4="否"</formula>
    </cfRule>
  </conditionalFormatting>
  <conditionalFormatting sqref="L4:L7">
    <cfRule type="expression" priority="9" dxfId="5">
      <formula>$L4="阻塞"</formula>
    </cfRule>
    <cfRule type="expression" priority="10" dxfId="0">
      <formula>$L4="高"</formula>
    </cfRule>
    <cfRule type="expression" priority="11" dxfId="1">
      <formula>$L4="中"</formula>
    </cfRule>
    <cfRule type="expression" priority="12" dxfId="6">
      <formula>$L4="低"</formula>
    </cfRule>
    <cfRule type="expression" priority="13" dxfId="7">
      <formula>$L4="轻微"</formula>
    </cfRule>
  </conditionalFormatting>
  <conditionalFormatting sqref="O4:O7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7">
    <cfRule type="expression" priority="17" dxfId="2">
      <formula>$P4="通过"</formula>
    </cfRule>
    <cfRule type="expression" priority="18" dxfId="0">
      <formula>$P4="不通过"</formula>
    </cfRule>
  </conditionalFormatting>
  <dataValidations count="7">
    <dataValidation sqref="D4:D7" showDropDown="0" showInputMessage="0" showErrorMessage="0" allowBlank="1" errorTitle="输入无效" error="请选择下拉列表中的值" promptTitle="可选值" prompt="请从列表中选择" type="list">
      <formula1>"P0,P1,P2,P3"</formula1>
    </dataValidation>
    <dataValidation sqref="E4:E7" showDropDown="0" showInputMessage="0" showErrorMessage="0" allowBlank="1" errorTitle="输入无效" error="请选择下拉列表中的值" promptTitle="可选值" prompt="请从列表中选择" type="list">
      <formula1>"功能,流程,校验,权限,安全,异常"</formula1>
    </dataValidation>
    <dataValidation sqref="J4:J7" showDropDown="0" showInputMessage="0" showErrorMessage="0" allowBlank="1" errorTitle="输入无效" error="请选择下拉列表中的值" promptTitle="可选值" prompt="请从列表中选择" type="list">
      <formula1>"未执行,通过,失败,阻塞,不适用"</formula1>
    </dataValidation>
    <dataValidation sqref="K4:K7" showDropDown="0" showInputMessage="0" showErrorMessage="0" allowBlank="1" errorTitle="输入无效" error="请选择下拉列表中的值" promptTitle="可选值" prompt="请从列表中选择" type="list">
      <formula1>"是,否"</formula1>
    </dataValidation>
    <dataValidation sqref="L4:L7" showDropDown="0" showInputMessage="0" showErrorMessage="0" allowBlank="1" errorTitle="输入无效" error="请选择下拉列表中的值" promptTitle="可选值" prompt="请从列表中选择" type="list">
      <formula1>"阻塞,高,中,低,轻微"</formula1>
    </dataValidation>
    <dataValidation sqref="O4:O7" showDropDown="0" showInputMessage="0" showErrorMessage="0" allowBlank="1" errorTitle="输入无效" error="请选择下拉列表中的值" promptTitle="可选值" prompt="请从列表中选择" type="list">
      <formula1>"已完成,待讨论,暂不修复"</formula1>
    </dataValidation>
    <dataValidation sqref="P4:P7" showDropDown="0" showInputMessage="0" showErrorMessage="0" allowBlank="1" errorTitle="输入无效" error="请选择下拉列表中的值" promptTitle="可选值" prompt="请从列表中选择" type="list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54" customWidth="1" min="8" max="8"/>
    <col width="56" customWidth="1" min="9" max="9"/>
    <col width="12" customWidth="1" min="10" max="10"/>
    <col width="12" customWidth="1" min="11" max="11"/>
    <col width="12" customWidth="1" min="12" max="12"/>
    <col width="30" customWidth="1" min="13" max="13"/>
    <col width="28" customWidth="1" min="14" max="14"/>
    <col width="14" customWidth="1" min="15" max="15"/>
    <col width="14" customWidth="1" min="16" max="16"/>
  </cols>
  <sheetData>
    <row r="1" ht="34" customHeight="1">
      <c r="A1" s="1" t="inlineStr">
        <is>
          <t>4.12 练习册人工测试用例 — 创建与编辑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3" t="inlineStr">
        <is>
          <t>来源：文档/4-需求文档/4.12 练习册.md｜范围：P0人工回归｜按真实浏览器操作与可观察结果执行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 ht="36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127" customHeight="1">
      <c r="A4" s="14" t="inlineStr">
        <is>
          <t>WBK-CONFIG-001</t>
        </is>
      </c>
      <c r="B4" s="14" t="inlineStr">
        <is>
          <t>创建与编辑</t>
        </is>
      </c>
      <c r="C4" s="15" t="inlineStr">
        <is>
          <t>在当前考试创建12题练习本并返回列表</t>
        </is>
      </c>
      <c r="D4" s="14" t="inlineStr">
        <is>
          <t>P0</t>
        </is>
      </c>
      <c r="E4" s="14" t="inlineStr">
        <is>
          <t>流程</t>
        </is>
      </c>
      <c r="F4" s="15" t="inlineStr">
        <is>
          <t>学生已登录；当前顶部考试为ESAT；考纲和题目可用</t>
        </is>
      </c>
      <c r="G4" s="15" t="inlineStr">
        <is>
          <t>名称=代数周练；叶子知识点2个；题量12；中等为主；不限时；新题优先开启</t>
        </is>
      </c>
      <c r="H4" s="15" t="inlineStr">
        <is>
          <t>1. 记录ESAT免费已用题量U作为基线
2. 从练习册点击新建练习本
3. 核对考试自动为ESAT且没有可切换考试的字段
4. 填写名称并选择两个叶子知识点
5. 设置题量、难度、时间和新题优先
6. 点击保存并等待保存成功
7. 回到列表核对新练习本并再次查看U</t>
        </is>
      </c>
      <c r="I4" s="15" t="inlineStr">
        <is>
          <t>保存成功后返回ESAT练习册，新行的名称和配置与填写一致；创建只保存组卷规则，不预生成题目，U保持不变。</t>
        </is>
      </c>
      <c r="J4" s="16" t="inlineStr">
        <is>
          <t>未执行</t>
        </is>
      </c>
      <c r="K4" s="16" t="n"/>
      <c r="L4" s="16" t="n"/>
      <c r="M4" s="17" t="n"/>
      <c r="N4" s="17" t="n"/>
      <c r="O4" s="16" t="n"/>
      <c r="P4" s="16" t="n"/>
    </row>
    <row r="5" ht="127" customHeight="1">
      <c r="A5" s="18" t="inlineStr">
        <is>
          <t>WBK-CONFIG-002</t>
        </is>
      </c>
      <c r="B5" s="18" t="inlineStr">
        <is>
          <t>创建与编辑</t>
        </is>
      </c>
      <c r="C5" s="19" t="inlineStr">
        <is>
          <t>知识树父级联选与已选叶子双向同步</t>
        </is>
      </c>
      <c r="D5" s="18" t="inlineStr">
        <is>
          <t>P0</t>
        </is>
      </c>
      <c r="E5" s="18" t="inlineStr">
        <is>
          <t>功能</t>
        </is>
      </c>
      <c r="F5" s="19" t="inlineStr">
        <is>
          <t>当前考试考纲含学科、章节和多个叶子知识点</t>
        </is>
      </c>
      <c r="G5" s="19" t="inlineStr">
        <is>
          <t>父章节P含叶子L1、L2、L3；各叶子可用题数已知</t>
        </is>
      </c>
      <c r="H5" s="19" t="inlineStr">
        <is>
          <t>1. 打开新建页并展开P
2. 勾选P并观察左侧后代勾选
3. 核对右侧只列L1、L2、L3及各自可用题数
4. 在右侧取消L2
5. 核对左侧L2和父级勾选变化
6. 再从左侧单独勾选L2
7. 保存成功后重新编辑核对已选范围</t>
        </is>
      </c>
      <c r="I5" s="19" t="inlineStr">
        <is>
          <t>父级勾选会联选全部后代；右侧不显示父节点，只显示最终叶子及真实可用题数；任一侧取消或恢复叶子时另一侧同步；保存后范围保持。</t>
        </is>
      </c>
      <c r="J5" s="16" t="inlineStr">
        <is>
          <t>未执行</t>
        </is>
      </c>
      <c r="K5" s="16" t="n"/>
      <c r="L5" s="16" t="n"/>
      <c r="M5" s="17" t="n"/>
      <c r="N5" s="17" t="n"/>
      <c r="O5" s="16" t="n"/>
      <c r="P5" s="16" t="n"/>
    </row>
    <row r="6" ht="112" customHeight="1">
      <c r="A6" s="14" t="inlineStr">
        <is>
          <t>WBK-CONFIG-003</t>
        </is>
      </c>
      <c r="B6" s="14" t="inlineStr">
        <is>
          <t>创建与编辑</t>
        </is>
      </c>
      <c r="C6" s="15" t="inlineStr">
        <is>
          <t>题量难度时间和新题优先配置可见且可保存</t>
        </is>
      </c>
      <c r="D6" s="14" t="inlineStr">
        <is>
          <t>P0</t>
        </is>
      </c>
      <c r="E6" s="14" t="inlineStr">
        <is>
          <t>功能</t>
        </is>
      </c>
      <c r="F6" s="15" t="inlineStr">
        <is>
          <t>已进入合法新建页并选中至少一个叶子知识点</t>
        </is>
      </c>
      <c r="G6" s="15" t="inlineStr">
        <is>
          <t>题量=8/12/16/20；难度=简单为主/中等为主/困难为主/均衡组合；时间=不限时/预设/自定义</t>
        </is>
      </c>
      <c r="H6" s="15" t="inlineStr">
        <is>
          <t>1. 逐项查看四个题量选项和四个难度选项
2. 核对新题优先默认开启
3. 选择8题、简单为主、不限时后保存成功
4. 重新编辑并改为20题、困难为主、预设时间、新题优先关闭后保存成功
5. 再次编辑改为12题、均衡组合、合法自定义时间后保存成功
6. 每次返回列表核对摘要</t>
        </is>
      </c>
      <c r="I6" s="15" t="inlineStr">
        <is>
          <t>页面只提供约定的题量和难度模式；不限时、预设和合法自定义时间均可保存；新题优先默认开启且可关闭；列表摘要随最后一次成功保存更新。</t>
        </is>
      </c>
      <c r="J6" s="16" t="inlineStr">
        <is>
          <t>未执行</t>
        </is>
      </c>
      <c r="K6" s="16" t="n"/>
      <c r="L6" s="16" t="n"/>
      <c r="M6" s="17" t="n"/>
      <c r="N6" s="17" t="n"/>
      <c r="O6" s="16" t="n"/>
      <c r="P6" s="16" t="n"/>
    </row>
    <row r="7" ht="112" customHeight="1">
      <c r="A7" s="18" t="inlineStr">
        <is>
          <t>WBK-CONFIG-004</t>
        </is>
      </c>
      <c r="B7" s="18" t="inlineStr">
        <is>
          <t>创建与编辑</t>
        </is>
      </c>
      <c r="C7" s="19" t="inlineStr">
        <is>
          <t>必填项和自定义时间不合法时阻止保存</t>
        </is>
      </c>
      <c r="D7" s="18" t="inlineStr">
        <is>
          <t>P0</t>
        </is>
      </c>
      <c r="E7" s="18" t="inlineStr">
        <is>
          <t>校验</t>
        </is>
      </c>
      <c r="F7" s="19" t="inlineStr">
        <is>
          <t>学生已进入新建练习本页</t>
        </is>
      </c>
      <c r="G7" s="19" t="inlineStr">
        <is>
          <t>空名称；未选知识点；空值、0或超出页面允许范围的自定义时间</t>
        </is>
      </c>
      <c r="H7" s="19" t="inlineStr">
        <is>
          <t>1. 不填名称且不选知识点点击保存
2. 核对名称和知识点提示
3. 填写名称但仍不选知识点再次保存
4. 选择叶子知识点并切换到自定义时间
5. 依次输入不合法时间并点击保存
6. 改为合法时间完成保存</t>
        </is>
      </c>
      <c r="I7" s="19" t="inlineStr">
        <is>
          <t>每次不合法输入均在原页显示对应提示且不创建练习本；已填写内容不被清空；全部合法后才保存成功。</t>
        </is>
      </c>
      <c r="J7" s="16" t="inlineStr">
        <is>
          <t>未执行</t>
        </is>
      </c>
      <c r="K7" s="16" t="n"/>
      <c r="L7" s="16" t="n"/>
      <c r="M7" s="17" t="n"/>
      <c r="N7" s="17" t="n"/>
      <c r="O7" s="16" t="n"/>
      <c r="P7" s="16" t="n"/>
    </row>
    <row r="8" ht="127" customHeight="1">
      <c r="A8" s="14" t="inlineStr">
        <is>
          <t>WBK-CONFIG-005</t>
        </is>
      </c>
      <c r="B8" s="14" t="inlineStr">
        <is>
          <t>创建与编辑</t>
        </is>
      </c>
      <c r="C8" s="15" t="inlineStr">
        <is>
          <t>编辑页完整预填且保存只影响后续练习</t>
        </is>
      </c>
      <c r="D8" s="14" t="inlineStr">
        <is>
          <t>P0</t>
        </is>
      </c>
      <c r="E8" s="14" t="inlineStr">
        <is>
          <t>流程</t>
        </is>
      </c>
      <c r="F8" s="15" t="inlineStr">
        <is>
          <t>练习本已有一份进行中练习和一条已交卷历史</t>
        </is>
      </c>
      <c r="G8" s="15" t="inlineStr">
        <is>
          <t>原配置C1=12题/知识点A/中等为主；新配置C2=8题/知识点B/困难为主</t>
        </is>
      </c>
      <c r="H8" s="15" t="inlineStr">
        <is>
          <t>1. 记录进行中练习题目集合S和历史记录H的配置快照
2. 点击编辑核对C1全部预填
3. 修改为C2并保存成功
4. 继续进行中练习并核对S
5. 打开H的详情核对旧快照
6. 完成进行中练习并正式交卷
7. 再次开始新练习并核对采用C2</t>
        </is>
      </c>
      <c r="I8" s="15" t="inlineStr">
        <is>
          <t>编辑页完整预填；保存后列表当前设置更新为C2；S和H保持C1及原题目不变；下一次新生成练习才采用C2。</t>
        </is>
      </c>
      <c r="J8" s="16" t="inlineStr">
        <is>
          <t>未执行</t>
        </is>
      </c>
      <c r="K8" s="16" t="n"/>
      <c r="L8" s="16" t="n"/>
      <c r="M8" s="17" t="n"/>
      <c r="N8" s="17" t="n"/>
      <c r="O8" s="16" t="n"/>
      <c r="P8" s="16" t="n"/>
    </row>
    <row r="9" ht="127" customHeight="1">
      <c r="A9" s="18" t="inlineStr">
        <is>
          <t>WBK-CONFIG-006</t>
        </is>
      </c>
      <c r="B9" s="18" t="inlineStr">
        <is>
          <t>创建与编辑</t>
        </is>
      </c>
      <c r="C9" s="19" t="inlineStr">
        <is>
          <t>取消返回和切换考试不会静默保存编辑内容</t>
        </is>
      </c>
      <c r="D9" s="18" t="inlineStr">
        <is>
          <t>P0</t>
        </is>
      </c>
      <c r="E9" s="18" t="inlineStr">
        <is>
          <t>流程</t>
        </is>
      </c>
      <c r="F9" s="19" t="inlineStr">
        <is>
          <t>已有ESAT练习本且可编辑</t>
        </is>
      </c>
      <c r="G9" s="19" t="inlineStr">
        <is>
          <t>原名称N1；临时名称N2；临时知识点L2</t>
        </is>
      </c>
      <c r="H9" s="19" t="inlineStr">
        <is>
          <t>1. 进入编辑页将N1改为N2并调整为L2
2. 点击取消或页面返回并回到列表
3. 再次编辑核对仍为N1和原知识点
4. 再次做相同修改后在顶部切换到TMUA
5. 核对出现未保存提醒并先取消切换
6. 再次切换并确认放弃修改
7. 返回ESAT重新编辑核对原配置</t>
        </is>
      </c>
      <c r="I9" s="19" t="inlineStr">
        <is>
          <t>取消、返回和放弃切换均不保存临时修改；取消考试切换时继续停留编辑页并保留输入；确认后进入TMUA首页；回到ESAT时原配置保持不变。</t>
        </is>
      </c>
      <c r="J9" s="16" t="inlineStr">
        <is>
          <t>未执行</t>
        </is>
      </c>
      <c r="K9" s="16" t="n"/>
      <c r="L9" s="16" t="n"/>
      <c r="M9" s="17" t="n"/>
      <c r="N9" s="17" t="n"/>
      <c r="O9" s="16" t="n"/>
      <c r="P9" s="16" t="n"/>
    </row>
  </sheetData>
  <mergeCells count="2">
    <mergeCell ref="A1:P1"/>
    <mergeCell ref="A2:P2"/>
  </mergeCells>
  <conditionalFormatting sqref="D4:D9">
    <cfRule type="expression" priority="1" dxfId="0">
      <formula>$D4="P0"</formula>
    </cfRule>
    <cfRule type="expression" priority="2" dxfId="1">
      <formula>$D4="P1"</formula>
    </cfRule>
  </conditionalFormatting>
  <conditionalFormatting sqref="J4:J9">
    <cfRule type="expression" priority="3" dxfId="2">
      <formula>$J4="通过"</formula>
    </cfRule>
    <cfRule type="expression" priority="4" dxfId="0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9">
    <cfRule type="expression" priority="7" dxfId="2">
      <formula>$K4="是"</formula>
    </cfRule>
    <cfRule type="expression" priority="8" dxfId="0">
      <formula>$K4="否"</formula>
    </cfRule>
  </conditionalFormatting>
  <conditionalFormatting sqref="L4:L9">
    <cfRule type="expression" priority="9" dxfId="5">
      <formula>$L4="阻塞"</formula>
    </cfRule>
    <cfRule type="expression" priority="10" dxfId="0">
      <formula>$L4="高"</formula>
    </cfRule>
    <cfRule type="expression" priority="11" dxfId="1">
      <formula>$L4="中"</formula>
    </cfRule>
    <cfRule type="expression" priority="12" dxfId="6">
      <formula>$L4="低"</formula>
    </cfRule>
    <cfRule type="expression" priority="13" dxfId="7">
      <formula>$L4="轻微"</formula>
    </cfRule>
  </conditionalFormatting>
  <conditionalFormatting sqref="O4:O9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9">
    <cfRule type="expression" priority="17" dxfId="2">
      <formula>$P4="通过"</formula>
    </cfRule>
    <cfRule type="expression" priority="18" dxfId="0">
      <formula>$P4="不通过"</formula>
    </cfRule>
  </conditionalFormatting>
  <dataValidations count="7">
    <dataValidation sqref="D4:D9" showDropDown="0" showInputMessage="0" showErrorMessage="0" allowBlank="1" errorTitle="输入无效" error="请选择下拉列表中的值" promptTitle="可选值" prompt="请从列表中选择" type="list">
      <formula1>"P0,P1,P2,P3"</formula1>
    </dataValidation>
    <dataValidation sqref="E4:E9" showDropDown="0" showInputMessage="0" showErrorMessage="0" allowBlank="1" errorTitle="输入无效" error="请选择下拉列表中的值" promptTitle="可选值" prompt="请从列表中选择" type="list">
      <formula1>"功能,流程,校验,权限,安全,异常"</formula1>
    </dataValidation>
    <dataValidation sqref="J4:J9" showDropDown="0" showInputMessage="0" showErrorMessage="0" allowBlank="1" errorTitle="输入无效" error="请选择下拉列表中的值" promptTitle="可选值" prompt="请从列表中选择" type="list">
      <formula1>"未执行,通过,失败,阻塞,不适用"</formula1>
    </dataValidation>
    <dataValidation sqref="K4:K9" showDropDown="0" showInputMessage="0" showErrorMessage="0" allowBlank="1" errorTitle="输入无效" error="请选择下拉列表中的值" promptTitle="可选值" prompt="请从列表中选择" type="list">
      <formula1>"是,否"</formula1>
    </dataValidation>
    <dataValidation sqref="L4:L9" showDropDown="0" showInputMessage="0" showErrorMessage="0" allowBlank="1" errorTitle="输入无效" error="请选择下拉列表中的值" promptTitle="可选值" prompt="请从列表中选择" type="list">
      <formula1>"阻塞,高,中,低,轻微"</formula1>
    </dataValidation>
    <dataValidation sqref="O4:O9" showDropDown="0" showInputMessage="0" showErrorMessage="0" allowBlank="1" errorTitle="输入无效" error="请选择下拉列表中的值" promptTitle="可选值" prompt="请从列表中选择" type="list">
      <formula1>"已完成,待讨论,暂不修复"</formula1>
    </dataValidation>
    <dataValidation sqref="P4:P9" showDropDown="0" showInputMessage="0" showErrorMessage="0" allowBlank="1" errorTitle="输入无效" error="请选择下拉列表中的值" promptTitle="可选值" prompt="请从列表中选择" type="list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54" customWidth="1" min="8" max="8"/>
    <col width="56" customWidth="1" min="9" max="9"/>
    <col width="12" customWidth="1" min="10" max="10"/>
    <col width="12" customWidth="1" min="11" max="11"/>
    <col width="12" customWidth="1" min="12" max="12"/>
    <col width="30" customWidth="1" min="13" max="13"/>
    <col width="28" customWidth="1" min="14" max="14"/>
    <col width="14" customWidth="1" min="15" max="15"/>
    <col width="14" customWidth="1" min="16" max="16"/>
  </cols>
  <sheetData>
    <row r="1" ht="34" customHeight="1">
      <c r="A1" s="1" t="inlineStr">
        <is>
          <t>4.12 练习册人工测试用例 — 组卷规则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3" t="inlineStr">
        <is>
          <t>来源：文档/4-需求文档/4.12 练习册.md｜范围：P0人工回归｜按真实浏览器操作与可观察结果执行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 ht="36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127" customHeight="1">
      <c r="A4" s="14" t="inlineStr">
        <is>
          <t>WBK-GEN-001</t>
        </is>
      </c>
      <c r="B4" s="14" t="inlineStr">
        <is>
          <t>组卷规则</t>
        </is>
      </c>
      <c r="C4" s="15" t="inlineStr">
        <is>
          <t>按所选范围生成固定题集且单组无重复</t>
        </is>
      </c>
      <c r="D4" s="14" t="inlineStr">
        <is>
          <t>P0</t>
        </is>
      </c>
      <c r="E4" s="14" t="inlineStr">
        <is>
          <t>流程</t>
        </is>
      </c>
      <c r="F4" s="15" t="inlineStr">
        <is>
          <t>练习本设为12题且所选知识点有充足已发布题目</t>
        </is>
      </c>
      <c r="G4" s="15" t="inlineStr">
        <is>
          <t>选中知识点A、B；未选知识点C；记录生成后的题目ID顺序S</t>
        </is>
      </c>
      <c r="H4" s="15" t="inlineStr">
        <is>
          <t>1. 点击开始练习并完成资格校验
2. 进入答题页记录12道题的ID、顺序和知识点
3. 检查同一组是否有重复ID或知识点C
4. 刷新答题页重新记录S
5. 返回练习册后点击继续练习
6. 再次记录题目和顺序
7. 正式交卷完成本次练习</t>
        </is>
      </c>
      <c r="I4" s="15" t="inlineStr">
        <is>
          <t>生成12道题且只来自A、B；单组没有重复题；刷新和继续后题目集合及顺序保持S不变；完成后才允许下一次重新组卷。</t>
        </is>
      </c>
      <c r="J4" s="16" t="inlineStr">
        <is>
          <t>未执行</t>
        </is>
      </c>
      <c r="K4" s="16" t="n"/>
      <c r="L4" s="16" t="n"/>
      <c r="M4" s="17" t="n"/>
      <c r="N4" s="17" t="n"/>
      <c r="O4" s="16" t="n"/>
      <c r="P4" s="16" t="n"/>
    </row>
    <row r="5" ht="127" customHeight="1">
      <c r="A5" s="18" t="inlineStr">
        <is>
          <t>WBK-GEN-002</t>
        </is>
      </c>
      <c r="B5" s="18" t="inlineStr">
        <is>
          <t>组卷规则</t>
        </is>
      </c>
      <c r="C5" s="19" t="inlineStr">
        <is>
          <t>四种难度模式按目标比例组卷并在已选范围补足</t>
        </is>
      </c>
      <c r="D5" s="18" t="inlineStr">
        <is>
          <t>P0</t>
        </is>
      </c>
      <c r="E5" s="18" t="inlineStr">
        <is>
          <t>校验</t>
        </is>
      </c>
      <c r="F5" s="19" t="inlineStr">
        <is>
          <t>准备可识别低中高难度且候选充分或局部不足的题库；无进行中练习</t>
        </is>
      </c>
      <c r="G5" s="19" t="inlineStr">
        <is>
          <t>12题分别使用简单为主、中等为主、困难为主、均衡组合；综合题按困难计</t>
        </is>
      </c>
      <c r="H5" s="19" t="inlineStr">
        <is>
          <t>1. 记录各模式的目标比例作为基线
2. 分别保存一种难度模式并开始练习
3. 正式交卷后再切换下一模式重复开始
4. 每组人工统计低中高分布及总题量
5. 对局部难度不足样本检查从其他已选难度补足
6. 检查综合题归类
7. 汇总四组结果完成核对</t>
        </is>
      </c>
      <c r="I5" s="19" t="inlineStr">
        <is>
          <t>候选充分时分布接近60/30/10、20/60/20、10/30/60或约各三分之一；不能整除时取最接近比例；局部不足可在已选范围补足但总题量保持不变；综合题计入困难候选。</t>
        </is>
      </c>
      <c r="J5" s="16" t="inlineStr">
        <is>
          <t>未执行</t>
        </is>
      </c>
      <c r="K5" s="16" t="n"/>
      <c r="L5" s="16" t="n"/>
      <c r="M5" s="17" t="n"/>
      <c r="N5" s="17" t="n"/>
      <c r="O5" s="16" t="n"/>
      <c r="P5" s="16" t="n"/>
    </row>
    <row r="6" ht="127" customHeight="1">
      <c r="A6" s="14" t="inlineStr">
        <is>
          <t>WBK-GEN-003</t>
        </is>
      </c>
      <c r="B6" s="14" t="inlineStr">
        <is>
          <t>组卷规则</t>
        </is>
      </c>
      <c r="C6" s="15" t="inlineStr">
        <is>
          <t>新题优先并以最久未练旧题补足</t>
        </is>
      </c>
      <c r="D6" s="14" t="inlineStr">
        <is>
          <t>P0</t>
        </is>
      </c>
      <c r="E6" s="14" t="inlineStr">
        <is>
          <t>流程</t>
        </is>
      </c>
      <c r="F6" s="15" t="inlineStr">
        <is>
          <t>用户历史含未答过新题、最近做过旧题、较久未做旧题和曾跳过题</t>
        </is>
      </c>
      <c r="G6" s="15" t="inlineStr">
        <is>
          <t>新题集合N；跳过题K；旧题按最后回答时间O1最久、O2较近</t>
        </is>
      </c>
      <c r="H6" s="15" t="inlineStr">
        <is>
          <t>1. 记录N、K、O1、O2历史作为基线
2. 确保新题优先开启并开始练习
3. 记录本组实际题目并正式交卷
4. 再次开始同一练习本
5. 检查未正式回答过的N和K优先级
6. 新题不足时核对O1与O2出现顺序
7. 正式交卷并对照两组题目</t>
        </is>
      </c>
      <c r="I6" s="15" t="inlineStr">
        <is>
          <t>未正式回答过的题优先；上次跳过题仍按未做题处理；新题不足后优先补入距离上次回答最久的旧题；每组内题目保持不重复。</t>
        </is>
      </c>
      <c r="J6" s="16" t="inlineStr">
        <is>
          <t>未执行</t>
        </is>
      </c>
      <c r="K6" s="16" t="n"/>
      <c r="L6" s="16" t="n"/>
      <c r="M6" s="17" t="n"/>
      <c r="N6" s="17" t="n"/>
      <c r="O6" s="16" t="n"/>
      <c r="P6" s="16" t="n"/>
    </row>
    <row r="7" ht="127" customHeight="1">
      <c r="A7" s="18" t="inlineStr">
        <is>
          <t>WBK-GEN-004</t>
        </is>
      </c>
      <c r="B7" s="18" t="inlineStr">
        <is>
          <t>组卷规则</t>
        </is>
      </c>
      <c r="C7" s="19" t="inlineStr">
        <is>
          <t>多个知识点尽量均衡且不越界加入未选范围</t>
        </is>
      </c>
      <c r="D7" s="18" t="inlineStr">
        <is>
          <t>P0</t>
        </is>
      </c>
      <c r="E7" s="18" t="inlineStr">
        <is>
          <t>校验</t>
        </is>
      </c>
      <c r="F7" s="19" t="inlineStr">
        <is>
          <t>选择A、B、D三个叶子知识点，其中B某难度候选不足；C未选择且题目充足</t>
        </is>
      </c>
      <c r="G7" s="19" t="inlineStr">
        <is>
          <t>题量12；已选A/B/D；未选C</t>
        </is>
      </c>
      <c r="H7" s="19" t="inlineStr">
        <is>
          <t>1. 记录A、B、D各自可用题目作为基线
2. 保存配置并开始练习
3. 逐题记录所属知识点
4. 比较A、B、D覆盖差异
5. 检查B不足部分的补题来源
6. 搜索本组是否出现C
7. 正式交卷完成本次练习</t>
        </is>
      </c>
      <c r="I7" s="19" t="inlineStr">
        <is>
          <t>候选允许时A、B、D尽量均衡；B不足可由A或D补足；不得自动加入C；最终题量保持12且单组无重复。</t>
        </is>
      </c>
      <c r="J7" s="16" t="inlineStr">
        <is>
          <t>未执行</t>
        </is>
      </c>
      <c r="K7" s="16" t="n"/>
      <c r="L7" s="16" t="n"/>
      <c r="M7" s="17" t="n"/>
      <c r="N7" s="17" t="n"/>
      <c r="O7" s="16" t="n"/>
      <c r="P7" s="16" t="n"/>
    </row>
    <row r="8" ht="127" customHeight="1">
      <c r="A8" s="14" t="inlineStr">
        <is>
          <t>WBK-GEN-005</t>
        </is>
      </c>
      <c r="B8" s="14" t="inlineStr">
        <is>
          <t>组卷规则</t>
        </is>
      </c>
      <c r="C8" s="15" t="inlineStr">
        <is>
          <t>题目不足或知识点失效时阻止创建并引导编辑</t>
        </is>
      </c>
      <c r="D8" s="14" t="inlineStr">
        <is>
          <t>P0</t>
        </is>
      </c>
      <c r="E8" s="14" t="inlineStr">
        <is>
          <t>异常</t>
        </is>
      </c>
      <c r="F8" s="15" t="inlineStr">
        <is>
          <t>样本一最多可生成7题但练习本设8题；样本二所选叶子已从当前考试失效</t>
        </is>
      </c>
      <c r="G8" s="15" t="inlineStr">
        <is>
          <t>样本A最大7题；样本B失效知识点L；操作前进行中记录R和免费已用U</t>
        </is>
      </c>
      <c r="H8" s="15" t="inlineStr">
        <is>
          <t>1. 记录R、U作为基线
2. 对样本A点击开始并等待校验完成
3. 核对提示中的最大可生成题量和编辑入口
4. 对样本B点击开始并等待校验完成
5. 核对失效知识点提示和编辑入口
6. 返回列表刷新R、U
7. 编辑为合法范围后成功开始并完成资格校验</t>
        </is>
      </c>
      <c r="I8" s="15" t="inlineStr">
        <is>
          <t>A不生成缩水练习并明确最多7题；B要求先编辑失效范围；两次失败后R、U保持不变且不产生半成品；修改合法后才能创建。</t>
        </is>
      </c>
      <c r="J8" s="16" t="inlineStr">
        <is>
          <t>未执行</t>
        </is>
      </c>
      <c r="K8" s="16" t="n"/>
      <c r="L8" s="16" t="n"/>
      <c r="M8" s="17" t="n"/>
      <c r="N8" s="17" t="n"/>
      <c r="O8" s="16" t="n"/>
      <c r="P8" s="16" t="n"/>
    </row>
  </sheetData>
  <mergeCells count="2">
    <mergeCell ref="A1:P1"/>
    <mergeCell ref="A2:P2"/>
  </mergeCells>
  <conditionalFormatting sqref="D4:D8">
    <cfRule type="expression" priority="1" dxfId="0">
      <formula>$D4="P0"</formula>
    </cfRule>
    <cfRule type="expression" priority="2" dxfId="1">
      <formula>$D4="P1"</formula>
    </cfRule>
  </conditionalFormatting>
  <conditionalFormatting sqref="J4:J8">
    <cfRule type="expression" priority="3" dxfId="2">
      <formula>$J4="通过"</formula>
    </cfRule>
    <cfRule type="expression" priority="4" dxfId="0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8">
    <cfRule type="expression" priority="7" dxfId="2">
      <formula>$K4="是"</formula>
    </cfRule>
    <cfRule type="expression" priority="8" dxfId="0">
      <formula>$K4="否"</formula>
    </cfRule>
  </conditionalFormatting>
  <conditionalFormatting sqref="L4:L8">
    <cfRule type="expression" priority="9" dxfId="5">
      <formula>$L4="阻塞"</formula>
    </cfRule>
    <cfRule type="expression" priority="10" dxfId="0">
      <formula>$L4="高"</formula>
    </cfRule>
    <cfRule type="expression" priority="11" dxfId="1">
      <formula>$L4="中"</formula>
    </cfRule>
    <cfRule type="expression" priority="12" dxfId="6">
      <formula>$L4="低"</formula>
    </cfRule>
    <cfRule type="expression" priority="13" dxfId="7">
      <formula>$L4="轻微"</formula>
    </cfRule>
  </conditionalFormatting>
  <conditionalFormatting sqref="O4:O8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8">
    <cfRule type="expression" priority="17" dxfId="2">
      <formula>$P4="通过"</formula>
    </cfRule>
    <cfRule type="expression" priority="18" dxfId="0">
      <formula>$P4="不通过"</formula>
    </cfRule>
  </conditionalFormatting>
  <dataValidations count="7">
    <dataValidation sqref="D4:D8" showDropDown="0" showInputMessage="0" showErrorMessage="0" allowBlank="1" errorTitle="输入无效" error="请选择下拉列表中的值" promptTitle="可选值" prompt="请从列表中选择" type="list">
      <formula1>"P0,P1,P2,P3"</formula1>
    </dataValidation>
    <dataValidation sqref="E4:E8" showDropDown="0" showInputMessage="0" showErrorMessage="0" allowBlank="1" errorTitle="输入无效" error="请选择下拉列表中的值" promptTitle="可选值" prompt="请从列表中选择" type="list">
      <formula1>"功能,流程,校验,权限,安全,异常"</formula1>
    </dataValidation>
    <dataValidation sqref="J4:J8" showDropDown="0" showInputMessage="0" showErrorMessage="0" allowBlank="1" errorTitle="输入无效" error="请选择下拉列表中的值" promptTitle="可选值" prompt="请从列表中选择" type="list">
      <formula1>"未执行,通过,失败,阻塞,不适用"</formula1>
    </dataValidation>
    <dataValidation sqref="K4:K8" showDropDown="0" showInputMessage="0" showErrorMessage="0" allowBlank="1" errorTitle="输入无效" error="请选择下拉列表中的值" promptTitle="可选值" prompt="请从列表中选择" type="list">
      <formula1>"是,否"</formula1>
    </dataValidation>
    <dataValidation sqref="L4:L8" showDropDown="0" showInputMessage="0" showErrorMessage="0" allowBlank="1" errorTitle="输入无效" error="请选择下拉列表中的值" promptTitle="可选值" prompt="请从列表中选择" type="list">
      <formula1>"阻塞,高,中,低,轻微"</formula1>
    </dataValidation>
    <dataValidation sqref="O4:O8" showDropDown="0" showInputMessage="0" showErrorMessage="0" allowBlank="1" errorTitle="输入无效" error="请选择下拉列表中的值" promptTitle="可选值" prompt="请从列表中选择" type="list">
      <formula1>"已完成,待讨论,暂不修复"</formula1>
    </dataValidation>
    <dataValidation sqref="P4:P8" showDropDown="0" showInputMessage="0" showErrorMessage="0" allowBlank="1" errorTitle="输入无效" error="请选择下拉列表中的值" promptTitle="可选值" prompt="请从列表中选择" type="list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54" customWidth="1" min="8" max="8"/>
    <col width="56" customWidth="1" min="9" max="9"/>
    <col width="12" customWidth="1" min="10" max="10"/>
    <col width="12" customWidth="1" min="11" max="11"/>
    <col width="12" customWidth="1" min="12" max="12"/>
    <col width="30" customWidth="1" min="13" max="13"/>
    <col width="28" customWidth="1" min="14" max="14"/>
    <col width="14" customWidth="1" min="15" max="15"/>
    <col width="14" customWidth="1" min="16" max="16"/>
  </cols>
  <sheetData>
    <row r="1" ht="34" customHeight="1">
      <c r="A1" s="1" t="inlineStr">
        <is>
          <t>4.12 练习册人工测试用例 — 进行中与恢复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3" t="inlineStr">
        <is>
          <t>来源：文档/4-需求文档/4.12 练习册.md｜范围：P0人工回归｜按真实浏览器操作与可观察结果执行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 ht="36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127" customHeight="1">
      <c r="A4" s="14" t="inlineStr">
        <is>
          <t>WBK-RESUME-001</t>
        </is>
      </c>
      <c r="B4" s="14" t="inlineStr">
        <is>
          <t>进行中与恢复</t>
        </is>
      </c>
      <c r="C4" s="15" t="inlineStr">
        <is>
          <t>关闭或刷新后恢复同一题目答案进度和用时</t>
        </is>
      </c>
      <c r="D4" s="14" t="inlineStr">
        <is>
          <t>P0</t>
        </is>
      </c>
      <c r="E4" s="14" t="inlineStr">
        <is>
          <t>流程</t>
        </is>
      </c>
      <c r="F4" s="15" t="inlineStr">
        <is>
          <t>已从练习本开始一份普通练习</t>
        </is>
      </c>
      <c r="G4" s="15" t="inlineStr">
        <is>
          <t>题目顺序S；已答题及答案A；当前题Q；显示用时T</t>
        </is>
      </c>
      <c r="H4" s="15" t="inlineStr">
        <is>
          <t>1. 连续作答数题并记录S、A、Q、T
2. 等待页面显示保存成功
3. 刷新页面核对恢复内容
4. 再作答一题并通过返回确认离开
5. 关闭浏览器后重新登录
6. 从对应练习本点击继续练习
7. 核对S、A、当前位置和用时后正式交卷</t>
        </is>
      </c>
      <c r="I4" s="15" t="inlineStr">
        <is>
          <t>刷新、离开和重新登录均恢复同一场记录；已保存答案、题目顺序、题号进度和用时保持；不会重新抽题或创建第二份练习。</t>
        </is>
      </c>
      <c r="J4" s="16" t="inlineStr">
        <is>
          <t>未执行</t>
        </is>
      </c>
      <c r="K4" s="16" t="n"/>
      <c r="L4" s="16" t="n"/>
      <c r="M4" s="17" t="n"/>
      <c r="N4" s="17" t="n"/>
      <c r="O4" s="16" t="n"/>
      <c r="P4" s="16" t="n"/>
    </row>
    <row r="5" ht="127" customHeight="1">
      <c r="A5" s="18" t="inlineStr">
        <is>
          <t>WBK-RESUME-002</t>
        </is>
      </c>
      <c r="B5" s="18" t="inlineStr">
        <is>
          <t>进行中与恢复</t>
        </is>
      </c>
      <c r="C5" s="19" t="inlineStr">
        <is>
          <t>当前练习本显示继续而其他练习本不得另开</t>
        </is>
      </c>
      <c r="D5" s="18" t="inlineStr">
        <is>
          <t>P0</t>
        </is>
      </c>
      <c r="E5" s="18" t="inlineStr">
        <is>
          <t>权限</t>
        </is>
      </c>
      <c r="F5" s="19" t="inlineStr">
        <is>
          <t>练习本A已有未交卷练习；同考试还有练习本B</t>
        </is>
      </c>
      <c r="G5" s="19" t="inlineStr">
        <is>
          <t>A的进行中记录R；B无记录</t>
        </is>
      </c>
      <c r="H5" s="19" t="inlineStr">
        <is>
          <t>1. 进入练习册核对A和B的操作按钮
2. 点击A的继续练习并确认进入R
3. 返回练习册后点击B的开始练习
4. 核对提示并选择继续原练习
5. 确认仍进入R而不是B的新题
6. 正式交卷R
7. 返回后再从B开始新练习</t>
        </is>
      </c>
      <c r="I5" s="19" t="inlineStr">
        <is>
          <t>A显示继续练习；B不能在R未交卷时创建第二份记录，只能引导继续R；R完成后单一占用释放，B才可成功开始。</t>
        </is>
      </c>
      <c r="J5" s="16" t="inlineStr">
        <is>
          <t>未执行</t>
        </is>
      </c>
      <c r="K5" s="16" t="n"/>
      <c r="L5" s="16" t="n"/>
      <c r="M5" s="17" t="n"/>
      <c r="N5" s="17" t="n"/>
      <c r="O5" s="16" t="n"/>
      <c r="P5" s="16" t="n"/>
    </row>
    <row r="6" ht="127" customHeight="1">
      <c r="A6" s="14" t="inlineStr">
        <is>
          <t>WBK-RESUME-003</t>
        </is>
      </c>
      <c r="B6" s="14" t="inlineStr">
        <is>
          <t>进行中与恢复</t>
        </is>
      </c>
      <c r="C6" s="15" t="inlineStr">
        <is>
          <t>练习本与临时练习共用唯一未交卷限制</t>
        </is>
      </c>
      <c r="D6" s="14" t="inlineStr">
        <is>
          <t>P0</t>
        </is>
      </c>
      <c r="E6" s="14" t="inlineStr">
        <is>
          <t>流程</t>
        </is>
      </c>
      <c r="F6" s="15" t="inlineStr">
        <is>
          <t>可从试题库创建临时练习，也有可用练习本</t>
        </is>
      </c>
      <c r="G6" s="15" t="inlineStr">
        <is>
          <t>场景A先建临时练习；场景B先建练习本练习</t>
        </is>
      </c>
      <c r="H6" s="15" t="inlineStr">
        <is>
          <t>1. 从试题库开始一份临时练习并保存返回
2. 进入练习册尝试从练习本开始
3. 通过临时练习行继续并正式交卷
4. 从练习本开始一份新练习并保存返回
5. 回到试题库尝试专项或自由组卷
6. 按提示返回练习册继续原记录
7. 正式交卷完成场景B</t>
        </is>
      </c>
      <c r="I6" s="15" t="inlineStr">
        <is>
          <t>所有试题库入口共用一份未交卷限制；两种先后顺序都不能产生第二份记录；系统准确指向当前原记录，完成后才释放限制。</t>
        </is>
      </c>
      <c r="J6" s="16" t="inlineStr">
        <is>
          <t>未执行</t>
        </is>
      </c>
      <c r="K6" s="16" t="n"/>
      <c r="L6" s="16" t="n"/>
      <c r="M6" s="17" t="n"/>
      <c r="N6" s="17" t="n"/>
      <c r="O6" s="16" t="n"/>
      <c r="P6" s="16" t="n"/>
    </row>
    <row r="7" ht="127" customHeight="1">
      <c r="A7" s="18" t="inlineStr">
        <is>
          <t>WBK-RESUME-004</t>
        </is>
      </c>
      <c r="B7" s="18" t="inlineStr">
        <is>
          <t>进行中与恢复</t>
        </is>
      </c>
      <c r="C7" s="19" t="inlineStr">
        <is>
          <t>快速重复点击和多窗口开始只产生一份练习</t>
        </is>
      </c>
      <c r="D7" s="18" t="inlineStr">
        <is>
          <t>P0</t>
        </is>
      </c>
      <c r="E7" s="18" t="inlineStr">
        <is>
          <t>异常</t>
        </is>
      </c>
      <c r="F7" s="19" t="inlineStr">
        <is>
          <t>学生无进行中练习；练习本有效且资格充足</t>
        </is>
      </c>
      <c r="G7" s="19" t="inlineStr">
        <is>
          <t>同一练习本；浏览器窗口A和B；操作前进行中记录R=0、免费已用U</t>
        </is>
      </c>
      <c r="H7" s="19" t="inlineStr">
        <is>
          <t>1. 记录R、U作为基线
2. 在窗口A快速连续点击开始练习
3. 同时在窗口B点击同一练习本开始
4. 等待两个请求完成并分别刷新
5. 从练习册点击继续并记录唯一题集S
6. 返回列表核对进行中记录
7. 正式交卷后核对R、U变化</t>
        </is>
      </c>
      <c r="I7" s="19" t="inlineStr">
        <is>
          <t>最终仅创建一份可继续练习S；重复请求返回同一记录或明确冲突；交卷前U保持不变，交卷后只按S增加一次；不得出现占用权益却无可继续记录。</t>
        </is>
      </c>
      <c r="J7" s="16" t="inlineStr">
        <is>
          <t>未执行</t>
        </is>
      </c>
      <c r="K7" s="16" t="n"/>
      <c r="L7" s="16" t="n"/>
      <c r="M7" s="17" t="n"/>
      <c r="N7" s="17" t="n"/>
      <c r="O7" s="16" t="n"/>
      <c r="P7" s="16" t="n"/>
    </row>
  </sheetData>
  <mergeCells count="2">
    <mergeCell ref="A1:P1"/>
    <mergeCell ref="A2:P2"/>
  </mergeCells>
  <conditionalFormatting sqref="D4:D7">
    <cfRule type="expression" priority="1" dxfId="0">
      <formula>$D4="P0"</formula>
    </cfRule>
    <cfRule type="expression" priority="2" dxfId="1">
      <formula>$D4="P1"</formula>
    </cfRule>
  </conditionalFormatting>
  <conditionalFormatting sqref="J4:J7">
    <cfRule type="expression" priority="3" dxfId="2">
      <formula>$J4="通过"</formula>
    </cfRule>
    <cfRule type="expression" priority="4" dxfId="0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7">
    <cfRule type="expression" priority="7" dxfId="2">
      <formula>$K4="是"</formula>
    </cfRule>
    <cfRule type="expression" priority="8" dxfId="0">
      <formula>$K4="否"</formula>
    </cfRule>
  </conditionalFormatting>
  <conditionalFormatting sqref="L4:L7">
    <cfRule type="expression" priority="9" dxfId="5">
      <formula>$L4="阻塞"</formula>
    </cfRule>
    <cfRule type="expression" priority="10" dxfId="0">
      <formula>$L4="高"</formula>
    </cfRule>
    <cfRule type="expression" priority="11" dxfId="1">
      <formula>$L4="中"</formula>
    </cfRule>
    <cfRule type="expression" priority="12" dxfId="6">
      <formula>$L4="低"</formula>
    </cfRule>
    <cfRule type="expression" priority="13" dxfId="7">
      <formula>$L4="轻微"</formula>
    </cfRule>
  </conditionalFormatting>
  <conditionalFormatting sqref="O4:O7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7">
    <cfRule type="expression" priority="17" dxfId="2">
      <formula>$P4="通过"</formula>
    </cfRule>
    <cfRule type="expression" priority="18" dxfId="0">
      <formula>$P4="不通过"</formula>
    </cfRule>
  </conditionalFormatting>
  <dataValidations count="7">
    <dataValidation sqref="D4:D7" showDropDown="0" showInputMessage="0" showErrorMessage="0" allowBlank="1" errorTitle="输入无效" error="请选择下拉列表中的值" promptTitle="可选值" prompt="请从列表中选择" type="list">
      <formula1>"P0,P1,P2,P3"</formula1>
    </dataValidation>
    <dataValidation sqref="E4:E7" showDropDown="0" showInputMessage="0" showErrorMessage="0" allowBlank="1" errorTitle="输入无效" error="请选择下拉列表中的值" promptTitle="可选值" prompt="请从列表中选择" type="list">
      <formula1>"功能,流程,校验,权限,安全,异常"</formula1>
    </dataValidation>
    <dataValidation sqref="J4:J7" showDropDown="0" showInputMessage="0" showErrorMessage="0" allowBlank="1" errorTitle="输入无效" error="请选择下拉列表中的值" promptTitle="可选值" prompt="请从列表中选择" type="list">
      <formula1>"未执行,通过,失败,阻塞,不适用"</formula1>
    </dataValidation>
    <dataValidation sqref="K4:K7" showDropDown="0" showInputMessage="0" showErrorMessage="0" allowBlank="1" errorTitle="输入无效" error="请选择下拉列表中的值" promptTitle="可选值" prompt="请从列表中选择" type="list">
      <formula1>"是,否"</formula1>
    </dataValidation>
    <dataValidation sqref="L4:L7" showDropDown="0" showInputMessage="0" showErrorMessage="0" allowBlank="1" errorTitle="输入无效" error="请选择下拉列表中的值" promptTitle="可选值" prompt="请从列表中选择" type="list">
      <formula1>"阻塞,高,中,低,轻微"</formula1>
    </dataValidation>
    <dataValidation sqref="O4:O7" showDropDown="0" showInputMessage="0" showErrorMessage="0" allowBlank="1" errorTitle="输入无效" error="请选择下拉列表中的值" promptTitle="可选值" prompt="请从列表中选择" type="list">
      <formula1>"已完成,待讨论,暂不修复"</formula1>
    </dataValidation>
    <dataValidation sqref="P4:P7" showDropDown="0" showInputMessage="0" showErrorMessage="0" allowBlank="1" errorTitle="输入无效" error="请选择下拉列表中的值" promptTitle="可选值" prompt="请从列表中选择" type="list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54" customWidth="1" min="8" max="8"/>
    <col width="56" customWidth="1" min="9" max="9"/>
    <col width="12" customWidth="1" min="10" max="10"/>
    <col width="12" customWidth="1" min="11" max="11"/>
    <col width="12" customWidth="1" min="12" max="12"/>
    <col width="30" customWidth="1" min="13" max="13"/>
    <col width="28" customWidth="1" min="14" max="14"/>
    <col width="14" customWidth="1" min="15" max="15"/>
    <col width="14" customWidth="1" min="16" max="16"/>
  </cols>
  <sheetData>
    <row r="1" ht="34" customHeight="1">
      <c r="A1" s="1" t="inlineStr">
        <is>
          <t>4.12 练习册人工测试用例 — 额度与权益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3" t="inlineStr">
        <is>
          <t>来源：文档/4-需求文档/4.12 练习册.md｜范围：P0人工回归｜按真实浏览器操作与可观察结果执行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 ht="36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127" customHeight="1">
      <c r="A4" s="14" t="inlineStr">
        <is>
          <t>WBK-QUOTA-001</t>
        </is>
      </c>
      <c r="B4" s="14" t="inlineStr">
        <is>
          <t>额度与权益</t>
        </is>
      </c>
      <c r="C4" s="15" t="inlineStr">
        <is>
          <t>免费用户完整交卷后按本次全部题目消耗额度</t>
        </is>
      </c>
      <c r="D4" s="14" t="inlineStr">
        <is>
          <t>P0</t>
        </is>
      </c>
      <c r="E4" s="14" t="inlineStr">
        <is>
          <t>流程</t>
        </is>
      </c>
      <c r="F4" s="15" t="inlineStr">
        <is>
          <t>ESAT免费用户剩余额度至少12；无进行中练习</t>
        </is>
      </c>
      <c r="G4" s="15" t="inlineStr">
        <is>
          <t>12题练习本；含答对、答错、未作答和曾练过旧题；操作前已用U</t>
        </is>
      </c>
      <c r="H4" s="15" t="inlineStr">
        <is>
          <t>1. 记录ESAT已用U作为基线
2. 创建或编辑12题练习本并再次查看U
3. 开始练习后暂停返回并再次查看U
4. 继续练习，保留至少一题未作答并正式交卷
5. 返回练习册和个人中心刷新已用题量
6. 统计本次实际题量N
7. 重新登录后再次核对</t>
        </is>
      </c>
      <c r="I4" s="15" t="inlineStr">
        <is>
          <t>创建、编辑、开始和暂停后U保持不变；正式交卷后U增加N且N=12；答错、未作答和重复旧题均计入；重新登录后结果保持。</t>
        </is>
      </c>
      <c r="J4" s="16" t="inlineStr">
        <is>
          <t>未执行</t>
        </is>
      </c>
      <c r="K4" s="16" t="n"/>
      <c r="L4" s="16" t="n"/>
      <c r="M4" s="17" t="n"/>
      <c r="N4" s="17" t="n"/>
      <c r="O4" s="16" t="n"/>
      <c r="P4" s="16" t="n"/>
    </row>
    <row r="5" ht="127" customHeight="1">
      <c r="A5" s="18" t="inlineStr">
        <is>
          <t>WBK-QUOTA-002</t>
        </is>
      </c>
      <c r="B5" s="18" t="inlineStr">
        <is>
          <t>额度与权益</t>
        </is>
      </c>
      <c r="C5" s="19" t="inlineStr">
        <is>
          <t>剩余额度小于设定题量时按剩余量生成且不改原配置</t>
        </is>
      </c>
      <c r="D5" s="18" t="inlineStr">
        <is>
          <t>P0</t>
        </is>
      </c>
      <c r="E5" s="18" t="inlineStr">
        <is>
          <t>权限</t>
        </is>
      </c>
      <c r="F5" s="19" t="inlineStr">
        <is>
          <t>免费用户当前考试剩余5题；练习本设为12题；候选题充足</t>
        </is>
      </c>
      <c r="G5" s="19" t="inlineStr">
        <is>
          <t>剩余R=5；设定Q=12；操作前已用U=20</t>
        </is>
      </c>
      <c r="H5" s="19" t="inlineStr">
        <is>
          <t>1. 记录R、Q、U作为基线
2. 点击开始练习并核对不足提示中的5题
3. 先取消并确认未创建记录
4. 再次点击开始并确认按剩余量继续
5. 进入答题页记录实际题量N
6. 正式交卷后刷新额度和练习本列表
7. 再次编辑练习本核对Q</t>
        </is>
      </c>
      <c r="I5" s="19" t="inlineStr">
        <is>
          <t>取消时R、U保持不变；确认后生成N=5而不是12，原配置Q仍保持12；正式交卷后U增加5、剩余变为0。</t>
        </is>
      </c>
      <c r="J5" s="16" t="inlineStr">
        <is>
          <t>未执行</t>
        </is>
      </c>
      <c r="K5" s="16" t="n"/>
      <c r="L5" s="16" t="n"/>
      <c r="M5" s="17" t="n"/>
      <c r="N5" s="17" t="inlineStr">
        <is>
          <t>需求待确认：1.4要求按剩余额度生成；3.5验收示例写成剩余8而设12时无法开始。本用例按更具体的1.4规则执行。</t>
        </is>
      </c>
      <c r="O5" s="16" t="n"/>
      <c r="P5" s="16" t="n"/>
    </row>
    <row r="6" ht="127" customHeight="1">
      <c r="A6" s="14" t="inlineStr">
        <is>
          <t>WBK-QUOTA-003</t>
        </is>
      </c>
      <c r="B6" s="14" t="inlineStr">
        <is>
          <t>额度与权益</t>
        </is>
      </c>
      <c r="C6" s="15" t="inlineStr">
        <is>
          <t>免费剩余额度为零时禁止开始并提供开通会员</t>
        </is>
      </c>
      <c r="D6" s="14" t="inlineStr">
        <is>
          <t>P0</t>
        </is>
      </c>
      <c r="E6" s="14" t="inlineStr">
        <is>
          <t>权限</t>
        </is>
      </c>
      <c r="F6" s="15" t="inlineStr">
        <is>
          <t>当前考试免费额度已全部使用；没有有效会员</t>
        </is>
      </c>
      <c r="G6" s="15" t="inlineStr">
        <is>
          <t>剩余R=0；练习本有效；操作前进行中记录C=0</t>
        </is>
      </c>
      <c r="H6" s="15" t="inlineStr">
        <is>
          <t>1. 记录R、C作为基线
2. 从练习本点击开始练习
3. 核对禁止提示和开通会员入口
4. 关闭购买入口返回练习册
5. 刷新页面核对练习本配置
6. 从个人中心核对已用与剩余
7. 再次尝试开始完成复核</t>
        </is>
      </c>
      <c r="I6" s="15" t="inlineStr">
        <is>
          <t>R=0时始终不能创建新练习；页面提供对应考试的会员购买入口；关闭后配置保持可用；C和额度保持不变且不会变为负数。</t>
        </is>
      </c>
      <c r="J6" s="16" t="inlineStr">
        <is>
          <t>未执行</t>
        </is>
      </c>
      <c r="K6" s="16" t="n"/>
      <c r="L6" s="16" t="n"/>
      <c r="M6" s="17" t="n"/>
      <c r="N6" s="17" t="n"/>
      <c r="O6" s="16" t="n"/>
      <c r="P6" s="16" t="n"/>
    </row>
    <row r="7" ht="127" customHeight="1">
      <c r="A7" s="18" t="inlineStr">
        <is>
          <t>WBK-QUOTA-004</t>
        </is>
      </c>
      <c r="B7" s="18" t="inlineStr">
        <is>
          <t>额度与权益</t>
        </is>
      </c>
      <c r="C7" s="19" t="inlineStr">
        <is>
          <t>专项自由组卷和练习本共用本考试额度且跨考试隔离</t>
        </is>
      </c>
      <c r="D7" s="18" t="inlineStr">
        <is>
          <t>P0</t>
        </is>
      </c>
      <c r="E7" s="18" t="inlineStr">
        <is>
          <t>流程</t>
        </is>
      </c>
      <c r="F7" s="19" t="inlineStr">
        <is>
          <t>免费用户ESAT和TMUA均未用满；可分别交卷三类练习</t>
        </is>
      </c>
      <c r="G7" s="19" t="inlineStr">
        <is>
          <t>ESAT基线E；TMUA基线T；专项5题、自由组卷8题、练习本12题</t>
        </is>
      </c>
      <c r="H7" s="19" t="inlineStr">
        <is>
          <t>1. 记录E、T作为基线
2. 在ESAT专项练习正式交卷5题
3. 在ESAT自由组卷正式交卷8题
4. 在ESAT练习本正式交卷12题
5. 刷新练习册和个人中心核对ESAT
6. 切换TMUA核对其额度
7. 重新登录后再次核对两考试</t>
        </is>
      </c>
      <c r="I7" s="19" t="inlineStr">
        <is>
          <t>ESAT三个入口共同使已用增加25且剩余为0；任一入口不能获得独立额度；TMUA的T保持不变；刷新和重新登录后两考试仍隔离。</t>
        </is>
      </c>
      <c r="J7" s="16" t="inlineStr">
        <is>
          <t>未执行</t>
        </is>
      </c>
      <c r="K7" s="16" t="n"/>
      <c r="L7" s="16" t="n"/>
      <c r="M7" s="17" t="n"/>
      <c r="N7" s="17" t="n"/>
      <c r="O7" s="16" t="n"/>
      <c r="P7" s="16" t="n"/>
    </row>
    <row r="8" ht="127" customHeight="1">
      <c r="A8" s="14" t="inlineStr">
        <is>
          <t>WBK-QUOTA-005</t>
        </is>
      </c>
      <c r="B8" s="14" t="inlineStr">
        <is>
          <t>额度与权益</t>
        </is>
      </c>
      <c r="C8" s="15" t="inlineStr">
        <is>
          <t>会员与管理员不受免费题量限制且到期不删除已有练习</t>
        </is>
      </c>
      <c r="D8" s="14" t="inlineStr">
        <is>
          <t>P0</t>
        </is>
      </c>
      <c r="E8" s="14" t="inlineStr">
        <is>
          <t>权限</t>
        </is>
      </c>
      <c r="F8" s="15" t="inlineStr">
        <is>
          <t>准备当前考试有效会员、管理员及即将到期会员三个账号</t>
        </is>
      </c>
      <c r="G8" s="15" t="inlineStr">
        <is>
          <t>20题练习本；到期账号已有进行中练习和历史H</t>
        </is>
      </c>
      <c r="H8" s="15" t="inlineStr">
        <is>
          <t>1. 记录三个账号当前权益及H作为基线
2. 有效会员开始并正式交卷20题
3. 管理员开始并正式交卷20题
4. 到期账号在到期前开始练习并保存返回
5. 使会员到期后继续该练习并正式交卷
6. 尝试再开始一份新练习
7. 打开原历史H和新完成详情</t>
        </is>
      </c>
      <c r="I8" s="15" t="inlineStr">
        <is>
          <t>有效会员和管理员可不受免费额度限制开始20题；到期只阻止新的开始，不删除或锁死已开始练习；原历史H和新完成详情保持可查看；其他考试权益不受影响。</t>
        </is>
      </c>
      <c r="J8" s="16" t="inlineStr">
        <is>
          <t>未执行</t>
        </is>
      </c>
      <c r="K8" s="16" t="n"/>
      <c r="L8" s="16" t="n"/>
      <c r="M8" s="17" t="n"/>
      <c r="N8" s="17" t="n"/>
      <c r="O8" s="16" t="n"/>
      <c r="P8" s="16" t="n"/>
    </row>
  </sheetData>
  <mergeCells count="2">
    <mergeCell ref="A1:P1"/>
    <mergeCell ref="A2:P2"/>
  </mergeCells>
  <conditionalFormatting sqref="D4:D8">
    <cfRule type="expression" priority="1" dxfId="0">
      <formula>$D4="P0"</formula>
    </cfRule>
    <cfRule type="expression" priority="2" dxfId="1">
      <formula>$D4="P1"</formula>
    </cfRule>
  </conditionalFormatting>
  <conditionalFormatting sqref="J4:J8">
    <cfRule type="expression" priority="3" dxfId="2">
      <formula>$J4="通过"</formula>
    </cfRule>
    <cfRule type="expression" priority="4" dxfId="0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8">
    <cfRule type="expression" priority="7" dxfId="2">
      <formula>$K4="是"</formula>
    </cfRule>
    <cfRule type="expression" priority="8" dxfId="0">
      <formula>$K4="否"</formula>
    </cfRule>
  </conditionalFormatting>
  <conditionalFormatting sqref="L4:L8">
    <cfRule type="expression" priority="9" dxfId="5">
      <formula>$L4="阻塞"</formula>
    </cfRule>
    <cfRule type="expression" priority="10" dxfId="0">
      <formula>$L4="高"</formula>
    </cfRule>
    <cfRule type="expression" priority="11" dxfId="1">
      <formula>$L4="中"</formula>
    </cfRule>
    <cfRule type="expression" priority="12" dxfId="6">
      <formula>$L4="低"</formula>
    </cfRule>
    <cfRule type="expression" priority="13" dxfId="7">
      <formula>$L4="轻微"</formula>
    </cfRule>
  </conditionalFormatting>
  <conditionalFormatting sqref="O4:O8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8">
    <cfRule type="expression" priority="17" dxfId="2">
      <formula>$P4="通过"</formula>
    </cfRule>
    <cfRule type="expression" priority="18" dxfId="0">
      <formula>$P4="不通过"</formula>
    </cfRule>
  </conditionalFormatting>
  <dataValidations count="7">
    <dataValidation sqref="D4:D8" showDropDown="0" showInputMessage="0" showErrorMessage="0" allowBlank="1" errorTitle="输入无效" error="请选择下拉列表中的值" promptTitle="可选值" prompt="请从列表中选择" type="list">
      <formula1>"P0,P1,P2,P3"</formula1>
    </dataValidation>
    <dataValidation sqref="E4:E8" showDropDown="0" showInputMessage="0" showErrorMessage="0" allowBlank="1" errorTitle="输入无效" error="请选择下拉列表中的值" promptTitle="可选值" prompt="请从列表中选择" type="list">
      <formula1>"功能,流程,校验,权限,安全,异常"</formula1>
    </dataValidation>
    <dataValidation sqref="J4:J8" showDropDown="0" showInputMessage="0" showErrorMessage="0" allowBlank="1" errorTitle="输入无效" error="请选择下拉列表中的值" promptTitle="可选值" prompt="请从列表中选择" type="list">
      <formula1>"未执行,通过,失败,阻塞,不适用"</formula1>
    </dataValidation>
    <dataValidation sqref="K4:K8" showDropDown="0" showInputMessage="0" showErrorMessage="0" allowBlank="1" errorTitle="输入无效" error="请选择下拉列表中的值" promptTitle="可选值" prompt="请从列表中选择" type="list">
      <formula1>"是,否"</formula1>
    </dataValidation>
    <dataValidation sqref="L4:L8" showDropDown="0" showInputMessage="0" showErrorMessage="0" allowBlank="1" errorTitle="输入无效" error="请选择下拉列表中的值" promptTitle="可选值" prompt="请从列表中选择" type="list">
      <formula1>"阻塞,高,中,低,轻微"</formula1>
    </dataValidation>
    <dataValidation sqref="O4:O8" showDropDown="0" showInputMessage="0" showErrorMessage="0" allowBlank="1" errorTitle="输入无效" error="请选择下拉列表中的值" promptTitle="可选值" prompt="请从列表中选择" type="list">
      <formula1>"已完成,待讨论,暂不修复"</formula1>
    </dataValidation>
    <dataValidation sqref="P4:P8" showDropDown="0" showInputMessage="0" showErrorMessage="0" allowBlank="1" errorTitle="输入无效" error="请选择下拉列表中的值" promptTitle="可选值" prompt="请从列表中选择" type="list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54" customWidth="1" min="8" max="8"/>
    <col width="56" customWidth="1" min="9" max="9"/>
    <col width="12" customWidth="1" min="10" max="10"/>
    <col width="12" customWidth="1" min="11" max="11"/>
    <col width="12" customWidth="1" min="12" max="12"/>
    <col width="30" customWidth="1" min="13" max="13"/>
    <col width="28" customWidth="1" min="14" max="14"/>
    <col width="14" customWidth="1" min="15" max="15"/>
    <col width="14" customWidth="1" min="16" max="16"/>
  </cols>
  <sheetData>
    <row r="1" ht="34" customHeight="1">
      <c r="A1" s="1" t="inlineStr">
        <is>
          <t>4.12 练习册人工测试用例 — 答题与交卷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3" t="inlineStr">
        <is>
          <t>来源：文档/4-需求文档/4.12 练习册.md｜范围：P0人工回归｜按真实浏览器操作与可观察结果执行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 ht="36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127" customHeight="1">
      <c r="A4" s="14" t="inlineStr">
        <is>
          <t>WBK-ANSWER-001</t>
        </is>
      </c>
      <c r="B4" s="14" t="inlineStr">
        <is>
          <t>答题与交卷</t>
        </is>
      </c>
      <c r="C4" s="15" t="inlineStr">
        <is>
          <t>不限时练习仅累计前台有效作答时间</t>
        </is>
      </c>
      <c r="D4" s="14" t="inlineStr">
        <is>
          <t>P0</t>
        </is>
      </c>
      <c r="E4" s="14" t="inlineStr">
        <is>
          <t>流程</t>
        </is>
      </c>
      <c r="F4" s="15" t="inlineStr">
        <is>
          <t>从不限时练习本开始练习</t>
        </is>
      </c>
      <c r="G4" s="15" t="inlineStr">
        <is>
          <t>当前题单题时间t；整场用时T；切到后台约2分钟</t>
        </is>
      </c>
      <c r="H4" s="15" t="inlineStr">
        <is>
          <t>1. 进入答题页记录t、T作为基线
2. 正常作答约30秒并记录t、T
3. 切换到其他标签页等待约2分钟
4. 返回并核对继续答题提示
5. 在未确认前再次观察t、T
6. 确认继续并作答约30秒
7. 正式交卷并查看历史实际用时</t>
        </is>
      </c>
      <c r="I4" s="15" t="inlineStr">
        <is>
          <t>不限时模式显示正向累计；后台和未确认继续期间t、T保持不变；确认后重新增加；历史实际用时不包含后台约2分钟。</t>
        </is>
      </c>
      <c r="J4" s="16" t="inlineStr">
        <is>
          <t>未执行</t>
        </is>
      </c>
      <c r="K4" s="16" t="n"/>
      <c r="L4" s="16" t="n"/>
      <c r="M4" s="17" t="n"/>
      <c r="N4" s="17" t="n"/>
      <c r="O4" s="16" t="n"/>
      <c r="P4" s="16" t="n"/>
    </row>
    <row r="5" ht="127" customHeight="1">
      <c r="A5" s="18" t="inlineStr">
        <is>
          <t>WBK-ANSWER-002</t>
        </is>
      </c>
      <c r="B5" s="18" t="inlineStr">
        <is>
          <t>答题与交卷</t>
        </is>
      </c>
      <c r="C5" s="19" t="inlineStr">
        <is>
          <t>限时练习后台继续倒计时且到期自动锁定交卷</t>
        </is>
      </c>
      <c r="D5" s="18" t="inlineStr">
        <is>
          <t>P0</t>
        </is>
      </c>
      <c r="E5" s="18" t="inlineStr">
        <is>
          <t>流程</t>
        </is>
      </c>
      <c r="F5" s="19" t="inlineStr">
        <is>
          <t>从短时限练习本开始练习</t>
        </is>
      </c>
      <c r="G5" s="19" t="inlineStr">
        <is>
          <t>剩余时间T；当前题单题时间t；切后台时长约2分钟</t>
        </is>
      </c>
      <c r="H5" s="19" t="inlineStr">
        <is>
          <t>1. 进入答题页记录T、t作为基线
2. 选择答案并等待保存成功
3. 切换后台约2分钟后返回
4. 核对T减少而t未计后台时间
5. 再次切后台直至截止时间经过
6. 返回页面观察到期流程
7. 核对完成弹窗和历史记录</t>
        </is>
      </c>
      <c r="I5" s="19" t="inlineStr">
        <is>
          <t>限时整场倒计时在后台继续减少，单题有效时间保持；到期后选项和导航锁定并自动走同一交卷流程；只能形成一条已完成历史。</t>
        </is>
      </c>
      <c r="J5" s="16" t="inlineStr">
        <is>
          <t>未执行</t>
        </is>
      </c>
      <c r="K5" s="16" t="n"/>
      <c r="L5" s="16" t="n"/>
      <c r="M5" s="17" t="n"/>
      <c r="N5" s="17" t="n"/>
      <c r="O5" s="16" t="n"/>
      <c r="P5" s="16" t="n"/>
    </row>
    <row r="6" ht="127" customHeight="1">
      <c r="A6" s="14" t="inlineStr">
        <is>
          <t>WBK-ANSWER-003</t>
        </is>
      </c>
      <c r="B6" s="14" t="inlineStr">
        <is>
          <t>答题与交卷</t>
        </is>
      </c>
      <c r="C6" s="15" t="inlineStr">
        <is>
          <t>自动保存失败保留答案并可重试后继续</t>
        </is>
      </c>
      <c r="D6" s="14" t="inlineStr">
        <is>
          <t>P0</t>
        </is>
      </c>
      <c r="E6" s="14" t="inlineStr">
        <is>
          <t>异常</t>
        </is>
      </c>
      <c r="F6" s="15" t="inlineStr">
        <is>
          <t>已在练习本答题页；可临时模拟保存接口失败</t>
        </is>
      </c>
      <c r="G6" s="15" t="inlineStr">
        <is>
          <t>当前题Q；选择A后改为B；操作前已保存答案S</t>
        </is>
      </c>
      <c r="H6" s="15" t="inlineStr">
        <is>
          <t>1. 记录Q和S作为基线
2. 断开网络后选择A并切题
3. 核对保存失败提示且页面仍保留A
4. 改选B并点击返回
5. 核对保存失败时仍停留答题页
6. 恢复网络并执行重试直到保存成功
7. 返回后从练习本继续并核对B</t>
        </is>
      </c>
      <c r="I6" s="15" t="inlineStr">
        <is>
          <t>保存失败可见且不清空当前最新答案B；失败时不能静默离开或切换新题集；重试成功后服务端以B更新，继续进入时保持B。</t>
        </is>
      </c>
      <c r="J6" s="16" t="inlineStr">
        <is>
          <t>未执行</t>
        </is>
      </c>
      <c r="K6" s="16" t="n"/>
      <c r="L6" s="16" t="n"/>
      <c r="M6" s="17" t="n"/>
      <c r="N6" s="17" t="inlineStr">
        <is>
          <t>当前实现待对齐：普通练习需补充可见的保存中、已保存、保存失败和重试反馈。</t>
        </is>
      </c>
      <c r="O6" s="16" t="n"/>
      <c r="P6" s="16" t="n"/>
    </row>
    <row r="7" ht="127" customHeight="1">
      <c r="A7" s="18" t="inlineStr">
        <is>
          <t>WBK-ANSWER-004</t>
        </is>
      </c>
      <c r="B7" s="18" t="inlineStr">
        <is>
          <t>答题与交卷</t>
        </is>
      </c>
      <c r="C7" s="19" t="inlineStr">
        <is>
          <t>主动交卷锁定操作并提供练习册返回与逐题解析</t>
        </is>
      </c>
      <c r="D7" s="18" t="inlineStr">
        <is>
          <t>P0</t>
        </is>
      </c>
      <c r="E7" s="18" t="inlineStr">
        <is>
          <t>流程</t>
        </is>
      </c>
      <c r="F7" s="19" t="inlineStr">
        <is>
          <t>练习本练习已答部分题目且仍有未答题</t>
        </is>
      </c>
      <c r="G7" s="19" t="inlineStr">
        <is>
          <t>未答题M；来源=练习册；操作前历史H</t>
        </is>
      </c>
      <c r="H7" s="19" t="inlineStr">
        <is>
          <t>1. 记录H和M作为基线
2. 点击提前交卷并核对未答提示
3. 取消后继续作答一题，再次提交并确认
4. 提交中尝试选择、翻题、题号跳转、返回和重复提交
5. 提交成功后核对不可忽略完成弹窗
6. 点击查看解析并逐题浏览后返回
7. 再次从历史打开详情并返回练习册</t>
        </is>
      </c>
      <c r="I7" s="19" t="inlineStr">
        <is>
          <t>取消交卷时可继续；确认后所有编辑和重复提交被锁定；成功后H增加1且弹窗只提供返回练习册和查看解析；解析返回练习册而非试题库，答案不可修改。</t>
        </is>
      </c>
      <c r="J7" s="16" t="inlineStr">
        <is>
          <t>未执行</t>
        </is>
      </c>
      <c r="K7" s="16" t="n"/>
      <c r="L7" s="16" t="n"/>
      <c r="M7" s="17" t="n"/>
      <c r="N7" s="17" t="n"/>
      <c r="O7" s="16" t="n"/>
      <c r="P7" s="16" t="n"/>
    </row>
  </sheetData>
  <mergeCells count="2">
    <mergeCell ref="A1:P1"/>
    <mergeCell ref="A2:P2"/>
  </mergeCells>
  <conditionalFormatting sqref="D4:D7">
    <cfRule type="expression" priority="1" dxfId="0">
      <formula>$D4="P0"</formula>
    </cfRule>
    <cfRule type="expression" priority="2" dxfId="1">
      <formula>$D4="P1"</formula>
    </cfRule>
  </conditionalFormatting>
  <conditionalFormatting sqref="J4:J7">
    <cfRule type="expression" priority="3" dxfId="2">
      <formula>$J4="通过"</formula>
    </cfRule>
    <cfRule type="expression" priority="4" dxfId="0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7">
    <cfRule type="expression" priority="7" dxfId="2">
      <formula>$K4="是"</formula>
    </cfRule>
    <cfRule type="expression" priority="8" dxfId="0">
      <formula>$K4="否"</formula>
    </cfRule>
  </conditionalFormatting>
  <conditionalFormatting sqref="L4:L7">
    <cfRule type="expression" priority="9" dxfId="5">
      <formula>$L4="阻塞"</formula>
    </cfRule>
    <cfRule type="expression" priority="10" dxfId="0">
      <formula>$L4="高"</formula>
    </cfRule>
    <cfRule type="expression" priority="11" dxfId="1">
      <formula>$L4="中"</formula>
    </cfRule>
    <cfRule type="expression" priority="12" dxfId="6">
      <formula>$L4="低"</formula>
    </cfRule>
    <cfRule type="expression" priority="13" dxfId="7">
      <formula>$L4="轻微"</formula>
    </cfRule>
  </conditionalFormatting>
  <conditionalFormatting sqref="O4:O7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7">
    <cfRule type="expression" priority="17" dxfId="2">
      <formula>$P4="通过"</formula>
    </cfRule>
    <cfRule type="expression" priority="18" dxfId="0">
      <formula>$P4="不通过"</formula>
    </cfRule>
  </conditionalFormatting>
  <dataValidations count="7">
    <dataValidation sqref="D4:D7" showDropDown="0" showInputMessage="0" showErrorMessage="0" allowBlank="1" errorTitle="输入无效" error="请选择下拉列表中的值" promptTitle="可选值" prompt="请从列表中选择" type="list">
      <formula1>"P0,P1,P2,P3"</formula1>
    </dataValidation>
    <dataValidation sqref="E4:E7" showDropDown="0" showInputMessage="0" showErrorMessage="0" allowBlank="1" errorTitle="输入无效" error="请选择下拉列表中的值" promptTitle="可选值" prompt="请从列表中选择" type="list">
      <formula1>"功能,流程,校验,权限,安全,异常"</formula1>
    </dataValidation>
    <dataValidation sqref="J4:J7" showDropDown="0" showInputMessage="0" showErrorMessage="0" allowBlank="1" errorTitle="输入无效" error="请选择下拉列表中的值" promptTitle="可选值" prompt="请从列表中选择" type="list">
      <formula1>"未执行,通过,失败,阻塞,不适用"</formula1>
    </dataValidation>
    <dataValidation sqref="K4:K7" showDropDown="0" showInputMessage="0" showErrorMessage="0" allowBlank="1" errorTitle="输入无效" error="请选择下拉列表中的值" promptTitle="可选值" prompt="请从列表中选择" type="list">
      <formula1>"是,否"</formula1>
    </dataValidation>
    <dataValidation sqref="L4:L7" showDropDown="0" showInputMessage="0" showErrorMessage="0" allowBlank="1" errorTitle="输入无效" error="请选择下拉列表中的值" promptTitle="可选值" prompt="请从列表中选择" type="list">
      <formula1>"阻塞,高,中,低,轻微"</formula1>
    </dataValidation>
    <dataValidation sqref="O4:O7" showDropDown="0" showInputMessage="0" showErrorMessage="0" allowBlank="1" errorTitle="输入无效" error="请选择下拉列表中的值" promptTitle="可选值" prompt="请从列表中选择" type="list">
      <formula1>"已完成,待讨论,暂不修复"</formula1>
    </dataValidation>
    <dataValidation sqref="P4:P7" showDropDown="0" showInputMessage="0" showErrorMessage="0" allowBlank="1" errorTitle="输入无效" error="请选择下拉列表中的值" promptTitle="可选值" prompt="请从列表中选择" type="list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54" customWidth="1" min="8" max="8"/>
    <col width="56" customWidth="1" min="9" max="9"/>
    <col width="12" customWidth="1" min="10" max="10"/>
    <col width="12" customWidth="1" min="11" max="11"/>
    <col width="12" customWidth="1" min="12" max="12"/>
    <col width="30" customWidth="1" min="13" max="13"/>
    <col width="28" customWidth="1" min="14" max="14"/>
    <col width="14" customWidth="1" min="15" max="15"/>
    <col width="14" customWidth="1" min="16" max="16"/>
  </cols>
  <sheetData>
    <row r="1" ht="34" customHeight="1">
      <c r="A1" s="1" t="inlineStr">
        <is>
          <t>4.12 练习册人工测试用例 — 统计与历史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3" t="inlineStr">
        <is>
          <t>来源：文档/4-需求文档/4.12 练习册.md｜范围：P0人工回归｜按真实浏览器操作与可观察结果执行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 ht="36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127" customHeight="1">
      <c r="A4" s="14" t="inlineStr">
        <is>
          <t>WBK-HISTORY-001</t>
        </is>
      </c>
      <c r="B4" s="14" t="inlineStr">
        <is>
          <t>统计与历史</t>
        </is>
      </c>
      <c r="C4" s="15" t="inlineStr">
        <is>
          <t>完整交卷后最近成绩累计统计额度和错题同步更新</t>
        </is>
      </c>
      <c r="D4" s="14" t="inlineStr">
        <is>
          <t>P0</t>
        </is>
      </c>
      <c r="E4" s="14" t="inlineStr">
        <is>
          <t>流程</t>
        </is>
      </c>
      <c r="F4" s="15" t="inlineStr">
        <is>
          <t>免费用户有12题练习本；可预设8题答对、3题答错、1题未答</t>
        </is>
      </c>
      <c r="G4" s="15" t="inlineStr">
        <is>
          <t>操作前最近成绩L、累计组数G、累计题数Q、已用额度U、错题卡片W</t>
        </is>
      </c>
      <c r="H4" s="15" t="inlineStr">
        <is>
          <t>1. 在练习册、个人中心和错题本记录L、G、Q、U、W作为基线
2. 开始12题练习并按8对3错1未答完成
3. 在最后确认前返回各页面核对基线未变
4. 继续同一练习并正式交卷
5. 返回练习册刷新主行和展开历史
6. 在个人中心核对U，在错题本筛选试题库来源
7. 重新登录并再次核对所有结果</t>
        </is>
      </c>
      <c r="I4" s="15" t="inlineStr">
        <is>
          <t>交卷前L、G、Q、U、W保持不变；正式交卷后最近成绩更新为8/12，G增加1，Q增加12，U增加12；3道错题和1道未答题进入错题本；刷新和重新登录后保持。</t>
        </is>
      </c>
      <c r="J4" s="16" t="inlineStr">
        <is>
          <t>未执行</t>
        </is>
      </c>
      <c r="K4" s="16" t="n"/>
      <c r="L4" s="16" t="n"/>
      <c r="M4" s="17" t="n"/>
      <c r="N4" s="17" t="n"/>
      <c r="O4" s="16" t="n"/>
      <c r="P4" s="16" t="n"/>
    </row>
    <row r="5" ht="127" customHeight="1">
      <c r="A5" s="18" t="inlineStr">
        <is>
          <t>WBK-HISTORY-002</t>
        </is>
      </c>
      <c r="B5" s="18" t="inlineStr">
        <is>
          <t>统计与历史</t>
        </is>
      </c>
      <c r="C5" s="19" t="inlineStr">
        <is>
          <t>暂停和提交失败不更新统计且重复提交只计一次</t>
        </is>
      </c>
      <c r="D5" s="18" t="inlineStr">
        <is>
          <t>P0</t>
        </is>
      </c>
      <c r="E5" s="18" t="inlineStr">
        <is>
          <t>异常</t>
        </is>
      </c>
      <c r="F5" s="19" t="inlineStr">
        <is>
          <t>练习本有可完成的8题练习；可模拟首次提交响应丢失</t>
        </is>
      </c>
      <c r="G5" s="19" t="inlineStr">
        <is>
          <t>操作前历史H、累计组数G、累计题数Q、已用U</t>
        </is>
      </c>
      <c r="H5" s="19" t="inlineStr">
        <is>
          <t>1. 记录H、G、Q、U作为基线
2. 开始练习并暂停返回
3. 刷新各页面核对基线
4. 完成答题后制造提交响应丢失并连续点击重试
5. 刷新练习册确认最终提交结果
6. 记录H、G、Q、U
7. 再次提交或刷新完成页完成复核</t>
        </is>
      </c>
      <c r="I5" s="19" t="inlineStr">
        <is>
          <t>暂停和未确认成功的失败提交后H、G、Q、U保持不变；服务端已完成时重试返回同一结果；最终H和G各增加1、Q和U各增加8，后续操作不再增加。</t>
        </is>
      </c>
      <c r="J5" s="16" t="inlineStr">
        <is>
          <t>未执行</t>
        </is>
      </c>
      <c r="K5" s="16" t="n"/>
      <c r="L5" s="16" t="n"/>
      <c r="M5" s="17" t="n"/>
      <c r="N5" s="17" t="n"/>
      <c r="O5" s="16" t="n"/>
      <c r="P5" s="16" t="n"/>
    </row>
    <row r="6" ht="127" customHeight="1">
      <c r="A6" s="14" t="inlineStr">
        <is>
          <t>WBK-HISTORY-003</t>
        </is>
      </c>
      <c r="B6" s="14" t="inlineStr">
        <is>
          <t>统计与历史</t>
        </is>
      </c>
      <c r="C6" s="15" t="inlineStr">
        <is>
          <t>历史按需展开倒序分页并从详情返回原考试</t>
        </is>
      </c>
      <c r="D6" s="14" t="inlineStr">
        <is>
          <t>P0</t>
        </is>
      </c>
      <c r="E6" s="14" t="inlineStr">
        <is>
          <t>流程</t>
        </is>
      </c>
      <c r="F6" s="15" t="inlineStr">
        <is>
          <t>练习本有超过一页的已交卷历史；当前顶部为TMUA</t>
        </is>
      </c>
      <c r="G6" s="15" t="inlineStr">
        <is>
          <t>多条提交时间、正确数、总题数、正确率和实际用时已知</t>
        </is>
      </c>
      <c r="H6" s="15" t="inlineStr">
        <is>
          <t>1. 进入练习册并确认首页未预加载全部历史
2. 点击主行非按钮区域展开历史
3. 核对首屏按交卷时间倒序及每条字段
4. 切换历史分页并检查不重复不遗漏
5. 点击某条查看详情并逐题核对
6. 点击返回练习册
7. 核对仍为TMUA并再次展开原练习本</t>
        </is>
      </c>
      <c r="I6" s="15" t="inlineStr">
        <is>
          <t>历史只在展开后按需加载；记录倒序、字段正确且分页稳定；详情展示本次全部题目和解析；返回后恢复TMUA练习册，不跳到试题库或ESAT。</t>
        </is>
      </c>
      <c r="J6" s="16" t="inlineStr">
        <is>
          <t>未执行</t>
        </is>
      </c>
      <c r="K6" s="16" t="n"/>
      <c r="L6" s="16" t="n"/>
      <c r="M6" s="17" t="n"/>
      <c r="N6" s="17" t="n"/>
      <c r="O6" s="16" t="n"/>
      <c r="P6" s="16" t="n"/>
    </row>
    <row r="7" ht="127" customHeight="1">
      <c r="A7" s="18" t="inlineStr">
        <is>
          <t>WBK-HISTORY-004</t>
        </is>
      </c>
      <c r="B7" s="18" t="inlineStr">
        <is>
          <t>统计与历史</t>
        </is>
      </c>
      <c r="C7" s="19" t="inlineStr">
        <is>
          <t>交卷后编辑名称和范围不改变旧历史快照</t>
        </is>
      </c>
      <c r="D7" s="18" t="inlineStr">
        <is>
          <t>P0</t>
        </is>
      </c>
      <c r="E7" s="18" t="inlineStr">
        <is>
          <t>流程</t>
        </is>
      </c>
      <c r="F7" s="19" t="inlineStr">
        <is>
          <t>练习本按配置C1完成一条历史H</t>
        </is>
      </c>
      <c r="G7" s="19" t="inlineStr">
        <is>
          <t>C1=旧名称/知识点A/12题；C2=新名称/知识点B/8题；历史题集S</t>
        </is>
      </c>
      <c r="H7" s="19" t="inlineStr">
        <is>
          <t>1. 打开H记录C1和S作为基线
2. 编辑练习本改为C2并保存成功
3. 返回列表核对当前设置已更新
4. 再次展开并打开H
5. 核对H的名称、配置、题目和答案
6. 开始一份新练习并核对采用C2
7. 正式交卷后对比两条历史</t>
        </is>
      </c>
      <c r="I7" s="19" t="inlineStr">
        <is>
          <t>列表当前设置更新为C2；旧历史H保持C1和S不变；新练习采用C2；两条记录各自保留生成或交卷时的配置与题目。</t>
        </is>
      </c>
      <c r="J7" s="16" t="inlineStr">
        <is>
          <t>未执行</t>
        </is>
      </c>
      <c r="K7" s="16" t="n"/>
      <c r="L7" s="16" t="n"/>
      <c r="M7" s="17" t="n"/>
      <c r="N7" s="17" t="n"/>
      <c r="O7" s="16" t="n"/>
      <c r="P7" s="16" t="n"/>
    </row>
    <row r="8" ht="127" customHeight="1">
      <c r="A8" s="14" t="inlineStr">
        <is>
          <t>WBK-HISTORY-005</t>
        </is>
      </c>
      <c r="B8" s="14" t="inlineStr">
        <is>
          <t>统计与历史</t>
        </is>
      </c>
      <c r="C8" s="15" t="inlineStr">
        <is>
          <t>正式交卷后错题按题目聚合且做对不清除旧错题</t>
        </is>
      </c>
      <c r="D8" s="14" t="inlineStr">
        <is>
          <t>P0</t>
        </is>
      </c>
      <c r="E8" s="14" t="inlineStr">
        <is>
          <t>流程</t>
        </is>
      </c>
      <c r="F8" s="15" t="inlineStr">
        <is>
          <t>同一题X可在多次练习出现；错题本无X或已有基线次数E</t>
        </is>
      </c>
      <c r="G8" s="15" t="inlineStr">
        <is>
          <t>第一次做错X；第二次未答X；第三次做对X；操作前错误次数E</t>
        </is>
      </c>
      <c r="H8" s="15" t="inlineStr">
        <is>
          <t>1. 在错题本记录X的E作为基线
2. 第一次练习做错X并正式交卷
3. 第二次练习跳过X并正式交卷
4. 第三次练习做对X并正式交卷
5. 回到错题本筛选试题库来源
6. 打开X卡片核对错误次数和历史曾选
7. 进入解析后返回列表</t>
        </is>
      </c>
      <c r="I8" s="15" t="inlineStr">
        <is>
          <t>第一次错误后X出现且E增加1；第二次未答后同一卡片错误次数再增加1；第三次做对后X仍保留且错误次数不减少；不会出现重复卡片。</t>
        </is>
      </c>
      <c r="J8" s="16" t="inlineStr">
        <is>
          <t>未执行</t>
        </is>
      </c>
      <c r="K8" s="16" t="n"/>
      <c r="L8" s="16" t="n"/>
      <c r="M8" s="17" t="n"/>
      <c r="N8" s="17" t="n"/>
      <c r="O8" s="16" t="n"/>
      <c r="P8" s="16" t="n"/>
    </row>
  </sheetData>
  <mergeCells count="2">
    <mergeCell ref="A1:P1"/>
    <mergeCell ref="A2:P2"/>
  </mergeCells>
  <conditionalFormatting sqref="D4:D8">
    <cfRule type="expression" priority="1" dxfId="0">
      <formula>$D4="P0"</formula>
    </cfRule>
    <cfRule type="expression" priority="2" dxfId="1">
      <formula>$D4="P1"</formula>
    </cfRule>
  </conditionalFormatting>
  <conditionalFormatting sqref="J4:J8">
    <cfRule type="expression" priority="3" dxfId="2">
      <formula>$J4="通过"</formula>
    </cfRule>
    <cfRule type="expression" priority="4" dxfId="0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8">
    <cfRule type="expression" priority="7" dxfId="2">
      <formula>$K4="是"</formula>
    </cfRule>
    <cfRule type="expression" priority="8" dxfId="0">
      <formula>$K4="否"</formula>
    </cfRule>
  </conditionalFormatting>
  <conditionalFormatting sqref="L4:L8">
    <cfRule type="expression" priority="9" dxfId="5">
      <formula>$L4="阻塞"</formula>
    </cfRule>
    <cfRule type="expression" priority="10" dxfId="0">
      <formula>$L4="高"</formula>
    </cfRule>
    <cfRule type="expression" priority="11" dxfId="1">
      <formula>$L4="中"</formula>
    </cfRule>
    <cfRule type="expression" priority="12" dxfId="6">
      <formula>$L4="低"</formula>
    </cfRule>
    <cfRule type="expression" priority="13" dxfId="7">
      <formula>$L4="轻微"</formula>
    </cfRule>
  </conditionalFormatting>
  <conditionalFormatting sqref="O4:O8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8">
    <cfRule type="expression" priority="17" dxfId="2">
      <formula>$P4="通过"</formula>
    </cfRule>
    <cfRule type="expression" priority="18" dxfId="0">
      <formula>$P4="不通过"</formula>
    </cfRule>
  </conditionalFormatting>
  <dataValidations count="7">
    <dataValidation sqref="D4:D8" showDropDown="0" showInputMessage="0" showErrorMessage="0" allowBlank="1" errorTitle="输入无效" error="请选择下拉列表中的值" promptTitle="可选值" prompt="请从列表中选择" type="list">
      <formula1>"P0,P1,P2,P3"</formula1>
    </dataValidation>
    <dataValidation sqref="E4:E8" showDropDown="0" showInputMessage="0" showErrorMessage="0" allowBlank="1" errorTitle="输入无效" error="请选择下拉列表中的值" promptTitle="可选值" prompt="请从列表中选择" type="list">
      <formula1>"功能,流程,校验,权限,安全,异常"</formula1>
    </dataValidation>
    <dataValidation sqref="J4:J8" showDropDown="0" showInputMessage="0" showErrorMessage="0" allowBlank="1" errorTitle="输入无效" error="请选择下拉列表中的值" promptTitle="可选值" prompt="请从列表中选择" type="list">
      <formula1>"未执行,通过,失败,阻塞,不适用"</formula1>
    </dataValidation>
    <dataValidation sqref="K4:K8" showDropDown="0" showInputMessage="0" showErrorMessage="0" allowBlank="1" errorTitle="输入无效" error="请选择下拉列表中的值" promptTitle="可选值" prompt="请从列表中选择" type="list">
      <formula1>"是,否"</formula1>
    </dataValidation>
    <dataValidation sqref="L4:L8" showDropDown="0" showInputMessage="0" showErrorMessage="0" allowBlank="1" errorTitle="输入无效" error="请选择下拉列表中的值" promptTitle="可选值" prompt="请从列表中选择" type="list">
      <formula1>"阻塞,高,中,低,轻微"</formula1>
    </dataValidation>
    <dataValidation sqref="O4:O8" showDropDown="0" showInputMessage="0" showErrorMessage="0" allowBlank="1" errorTitle="输入无效" error="请选择下拉列表中的值" promptTitle="可选值" prompt="请从列表中选择" type="list">
      <formula1>"已完成,待讨论,暂不修复"</formula1>
    </dataValidation>
    <dataValidation sqref="P4:P8" showDropDown="0" showInputMessage="0" showErrorMessage="0" allowBlank="1" errorTitle="输入无效" error="请选择下拉列表中的值" promptTitle="可选值" prompt="请从列表中选择" type="list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0" customWidth="1" min="4" max="4"/>
    <col width="12" customWidth="1" min="5" max="5"/>
    <col width="34" customWidth="1" min="6" max="6"/>
    <col width="34" customWidth="1" min="7" max="7"/>
    <col width="54" customWidth="1" min="8" max="8"/>
    <col width="56" customWidth="1" min="9" max="9"/>
    <col width="12" customWidth="1" min="10" max="10"/>
    <col width="12" customWidth="1" min="11" max="11"/>
    <col width="12" customWidth="1" min="12" max="12"/>
    <col width="30" customWidth="1" min="13" max="13"/>
    <col width="28" customWidth="1" min="14" max="14"/>
    <col width="14" customWidth="1" min="15" max="15"/>
    <col width="14" customWidth="1" min="16" max="16"/>
  </cols>
  <sheetData>
    <row r="1" ht="34" customHeight="1">
      <c r="A1" s="1" t="inlineStr">
        <is>
          <t>4.12 练习册人工测试用例 — 异常与后台联动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3" t="inlineStr">
        <is>
          <t>来源：文档/4-需求文档/4.12 练习册.md｜范围：P0人工回归｜按真实浏览器操作与可观察结果执行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 ht="36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127" customHeight="1">
      <c r="A4" s="14" t="inlineStr">
        <is>
          <t>WBK-FAIL-001</t>
        </is>
      </c>
      <c r="B4" s="14" t="inlineStr">
        <is>
          <t>异常与后台联动</t>
        </is>
      </c>
      <c r="C4" s="15" t="inlineStr">
        <is>
          <t>列表配置和历史加载失败与真实空数据明确区分</t>
        </is>
      </c>
      <c r="D4" s="14" t="inlineStr">
        <is>
          <t>P0</t>
        </is>
      </c>
      <c r="E4" s="14" t="inlineStr">
        <is>
          <t>异常</t>
        </is>
      </c>
      <c r="F4" s="15" t="inlineStr">
        <is>
          <t>账号已有练习本和历史；可分别模拟列表、配置、历史接口失败</t>
        </is>
      </c>
      <c r="G4" s="15" t="inlineStr">
        <is>
          <t>已保存练习本A；历史H；另准备真正无记录账号B</t>
        </is>
      </c>
      <c r="H4" s="15" t="inlineStr">
        <is>
          <t>1. 模拟列表加载失败进入练习册
2. 核对失败文案和重试入口，恢复后重试
3. 打开A编辑并模拟配置加载失败后重试
4. 展开A并模拟历史加载失败后重试
5. 每次恢复后核对A和H仍存在
6. 使用B进入练习册
7. 对比B的真实空数据页面</t>
        </is>
      </c>
      <c r="I4" s="15" t="inlineStr">
        <is>
          <t>三类请求失败均显示明确失败和重试，不伪装成空数据；重试成功后A、H保持；真正无记录账号只显示新建入口且不出现错误提示。</t>
        </is>
      </c>
      <c r="J4" s="16" t="inlineStr">
        <is>
          <t>未执行</t>
        </is>
      </c>
      <c r="K4" s="16" t="n"/>
      <c r="L4" s="16" t="n"/>
      <c r="M4" s="17" t="n"/>
      <c r="N4" s="17" t="n"/>
      <c r="O4" s="16" t="n"/>
      <c r="P4" s="16" t="n"/>
    </row>
    <row r="5" ht="127" customHeight="1">
      <c r="A5" s="18" t="inlineStr">
        <is>
          <t>WBK-FAIL-002</t>
        </is>
      </c>
      <c r="B5" s="18" t="inlineStr">
        <is>
          <t>异常与后台联动</t>
        </is>
      </c>
      <c r="C5" s="19" t="inlineStr">
        <is>
          <t>保存或开始失败保留输入且不产生半成品记录</t>
        </is>
      </c>
      <c r="D5" s="18" t="inlineStr">
        <is>
          <t>P0</t>
        </is>
      </c>
      <c r="E5" s="18" t="inlineStr">
        <is>
          <t>异常</t>
        </is>
      </c>
      <c r="F5" s="19" t="inlineStr">
        <is>
          <t>可模拟新建保存失败和开始练习事务失败</t>
        </is>
      </c>
      <c r="G5" s="19" t="inlineStr">
        <is>
          <t>新配置C；操作前练习本数B、进行中记录R、已用额度U</t>
        </is>
      </c>
      <c r="H5" s="19" t="inlineStr">
        <is>
          <t>1. 记录B、R、U作为基线
2. 填写C并制造保存失败
3. 核对当前填写和勾选仍在原页
4. 恢复后原地重试直到保存成功
5. 对已保存练习本制造开始请求失败
6. 返回列表刷新B、R、U并点击重试开始
7. 成功进入答题页后核对只有一份记录</t>
        </is>
      </c>
      <c r="I5" s="19" t="inlineStr">
        <is>
          <t>保存失败时C保持且B不变，重试成功后B增加1；开始失败后R、U保持不变且无半成品；重试成功后只产生一份可继续记录，未交卷前U不变。</t>
        </is>
      </c>
      <c r="J5" s="16" t="inlineStr">
        <is>
          <t>未执行</t>
        </is>
      </c>
      <c r="K5" s="16" t="n"/>
      <c r="L5" s="16" t="n"/>
      <c r="M5" s="17" t="n"/>
      <c r="N5" s="17" t="n"/>
      <c r="O5" s="16" t="n"/>
      <c r="P5" s="16" t="n"/>
    </row>
    <row r="6" ht="127" customHeight="1">
      <c r="A6" s="14" t="inlineStr">
        <is>
          <t>WBK-FAIL-003</t>
        </is>
      </c>
      <c r="B6" s="14" t="inlineStr">
        <is>
          <t>异常与后台联动</t>
        </is>
      </c>
      <c r="C6" s="15" t="inlineStr">
        <is>
          <t>后台归档题目只限制新组卷并保留进行中与历史</t>
        </is>
      </c>
      <c r="D6" s="14" t="inlineStr">
        <is>
          <t>P0</t>
        </is>
      </c>
      <c r="E6" s="14" t="inlineStr">
        <is>
          <t>权限</t>
        </is>
      </c>
      <c r="F6" s="15" t="inlineStr">
        <is>
          <t>题目X同时存在于进行中练习R和已完成历史H，并是新练习候选；管理员可归档X</t>
        </is>
      </c>
      <c r="G6" s="15" t="inlineStr">
        <is>
          <t>归档前R、H均含X；另有足够候选可完成新组卷</t>
        </is>
      </c>
      <c r="H6" s="15" t="inlineStr">
        <is>
          <t>1. 记录R、H中的X和答案作为基线
2. 管理员将X改为归档并保存成功
3. 学生刷新并继续R，核对X及原答案
4. 从H进入逐题解析核对X
5. 完成R并正式交卷
6. 再次开始新练习并检查是否抽到X
7. 返回历史重新打开R和H</t>
        </is>
      </c>
      <c r="I6" s="15" t="inlineStr">
        <is>
          <t>归档后R与H仍保留X及当时答案并可完成或查看；新练习不再抽取X；历史记录和错题关联保持，不因后台变化被删除。</t>
        </is>
      </c>
      <c r="J6" s="16" t="inlineStr">
        <is>
          <t>未执行</t>
        </is>
      </c>
      <c r="K6" s="16" t="n"/>
      <c r="L6" s="16" t="n"/>
      <c r="M6" s="17" t="n"/>
      <c r="N6" s="17" t="n"/>
      <c r="O6" s="16" t="n"/>
      <c r="P6" s="16" t="n"/>
    </row>
  </sheetData>
  <mergeCells count="2">
    <mergeCell ref="A1:P1"/>
    <mergeCell ref="A2:P2"/>
  </mergeCells>
  <conditionalFormatting sqref="D4:D6">
    <cfRule type="expression" priority="1" dxfId="0">
      <formula>$D4="P0"</formula>
    </cfRule>
    <cfRule type="expression" priority="2" dxfId="1">
      <formula>$D4="P1"</formula>
    </cfRule>
  </conditionalFormatting>
  <conditionalFormatting sqref="J4:J6">
    <cfRule type="expression" priority="3" dxfId="2">
      <formula>$J4="通过"</formula>
    </cfRule>
    <cfRule type="expression" priority="4" dxfId="0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6">
    <cfRule type="expression" priority="7" dxfId="2">
      <formula>$K4="是"</formula>
    </cfRule>
    <cfRule type="expression" priority="8" dxfId="0">
      <formula>$K4="否"</formula>
    </cfRule>
  </conditionalFormatting>
  <conditionalFormatting sqref="L4:L6">
    <cfRule type="expression" priority="9" dxfId="5">
      <formula>$L4="阻塞"</formula>
    </cfRule>
    <cfRule type="expression" priority="10" dxfId="0">
      <formula>$L4="高"</formula>
    </cfRule>
    <cfRule type="expression" priority="11" dxfId="1">
      <formula>$L4="中"</formula>
    </cfRule>
    <cfRule type="expression" priority="12" dxfId="6">
      <formula>$L4="低"</formula>
    </cfRule>
    <cfRule type="expression" priority="13" dxfId="7">
      <formula>$L4="轻微"</formula>
    </cfRule>
  </conditionalFormatting>
  <conditionalFormatting sqref="O4:O6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6">
    <cfRule type="expression" priority="17" dxfId="2">
      <formula>$P4="通过"</formula>
    </cfRule>
    <cfRule type="expression" priority="18" dxfId="0">
      <formula>$P4="不通过"</formula>
    </cfRule>
  </conditionalFormatting>
  <dataValidations count="7">
    <dataValidation sqref="D4:D6" showDropDown="0" showInputMessage="0" showErrorMessage="0" allowBlank="1" errorTitle="输入无效" error="请选择下拉列表中的值" promptTitle="可选值" prompt="请从列表中选择" type="list">
      <formula1>"P0,P1,P2,P3"</formula1>
    </dataValidation>
    <dataValidation sqref="E4:E6" showDropDown="0" showInputMessage="0" showErrorMessage="0" allowBlank="1" errorTitle="输入无效" error="请选择下拉列表中的值" promptTitle="可选值" prompt="请从列表中选择" type="list">
      <formula1>"功能,流程,校验,权限,安全,异常"</formula1>
    </dataValidation>
    <dataValidation sqref="J4:J6" showDropDown="0" showInputMessage="0" showErrorMessage="0" allowBlank="1" errorTitle="输入无效" error="请选择下拉列表中的值" promptTitle="可选值" prompt="请从列表中选择" type="list">
      <formula1>"未执行,通过,失败,阻塞,不适用"</formula1>
    </dataValidation>
    <dataValidation sqref="K4:K6" showDropDown="0" showInputMessage="0" showErrorMessage="0" allowBlank="1" errorTitle="输入无效" error="请选择下拉列表中的值" promptTitle="可选值" prompt="请从列表中选择" type="list">
      <formula1>"是,否"</formula1>
    </dataValidation>
    <dataValidation sqref="L4:L6" showDropDown="0" showInputMessage="0" showErrorMessage="0" allowBlank="1" errorTitle="输入无效" error="请选择下拉列表中的值" promptTitle="可选值" prompt="请从列表中选择" type="list">
      <formula1>"阻塞,高,中,低,轻微"</formula1>
    </dataValidation>
    <dataValidation sqref="O4:O6" showDropDown="0" showInputMessage="0" showErrorMessage="0" allowBlank="1" errorTitle="输入无效" error="请选择下拉列表中的值" promptTitle="可选值" prompt="请从列表中选择" type="list">
      <formula1>"已完成,待讨论,暂不修复"</formula1>
    </dataValidation>
    <dataValidation sqref="P4:P6" showDropDown="0" showInputMessage="0" showErrorMessage="0" allowBlank="1" errorTitle="输入无效" error="请选择下拉列表中的值" promptTitle="可选值" prompt="请从列表中选择" type="list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2026-08-09T17:10:10Z</dcterms:created>
  <dcterms:modified xmlns:dcterms="http://purl.org/dc/terms/" xmlns:xsi="http://www.w3.org/2001/XMLSchema-instance" xsi:type="dcterms:W3CDTF">2026-08-09T17:10:10Z</dcterms:modified>
</cp:coreProperties>
</file>