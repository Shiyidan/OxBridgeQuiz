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atagrand\ESAT-Project\"/>
    </mc:Choice>
  </mc:AlternateContent>
  <xr:revisionPtr revIDLastSave="0" documentId="13_ncr:1_{038657FE-D715-45EC-86C4-E44B3F735273}" xr6:coauthVersionLast="47" xr6:coauthVersionMax="47" xr10:uidLastSave="{00000000-0000-0000-0000-000000000000}"/>
  <bookViews>
    <workbookView xWindow="1140" yWindow="1140" windowWidth="14400" windowHeight="7360" xr2:uid="{00000000-000D-0000-FFFF-FFFF00000000}"/>
  </bookViews>
  <sheets>
    <sheet name="测试说明" sheetId="1" r:id="rId1"/>
    <sheet name="入口与列表" sheetId="2" r:id="rId2"/>
    <sheet name="创建与编辑" sheetId="3" r:id="rId3"/>
    <sheet name="组卷规则" sheetId="4" r:id="rId4"/>
    <sheet name="进行中与恢复" sheetId="5" r:id="rId5"/>
    <sheet name="额度与权益" sheetId="6" r:id="rId6"/>
    <sheet name="答题与交卷" sheetId="7" r:id="rId7"/>
    <sheet name="统计与历史" sheetId="8" r:id="rId8"/>
    <sheet name="异常与后台联动" sheetId="9" r:id="rId9"/>
  </sheets>
  <calcPr calcId="191029" forceFullCalc="1"/>
</workbook>
</file>

<file path=xl/calcChain.xml><?xml version="1.0" encoding="utf-8"?>
<calcChain xmlns="http://schemas.openxmlformats.org/spreadsheetml/2006/main">
  <c r="I17" i="1" l="1"/>
  <c r="H17" i="1"/>
  <c r="G17" i="1"/>
  <c r="F17" i="1"/>
  <c r="E17" i="1"/>
  <c r="D17" i="1"/>
  <c r="C17" i="1"/>
  <c r="B17" i="1"/>
  <c r="I16" i="1"/>
  <c r="H16" i="1"/>
  <c r="G16" i="1"/>
  <c r="F16" i="1"/>
  <c r="E16" i="1"/>
  <c r="D16" i="1"/>
  <c r="C16" i="1"/>
  <c r="B16" i="1"/>
  <c r="I15" i="1"/>
  <c r="H15" i="1"/>
  <c r="G15" i="1"/>
  <c r="F15" i="1"/>
  <c r="E15" i="1"/>
  <c r="D15" i="1"/>
  <c r="C15" i="1"/>
  <c r="B15" i="1"/>
  <c r="I14" i="1"/>
  <c r="H14" i="1"/>
  <c r="G14" i="1"/>
  <c r="F14" i="1"/>
  <c r="E14" i="1"/>
  <c r="D14" i="1"/>
  <c r="C14" i="1"/>
  <c r="B14" i="1"/>
  <c r="I13" i="1"/>
  <c r="H13" i="1"/>
  <c r="G13" i="1"/>
  <c r="F13" i="1"/>
  <c r="E13" i="1"/>
  <c r="D13" i="1"/>
  <c r="C13" i="1"/>
  <c r="B13" i="1"/>
  <c r="I12" i="1"/>
  <c r="H12" i="1"/>
  <c r="G12" i="1"/>
  <c r="F12" i="1"/>
  <c r="E12" i="1"/>
  <c r="D12" i="1"/>
  <c r="C12" i="1"/>
  <c r="B12" i="1"/>
  <c r="I11" i="1"/>
  <c r="H11" i="1"/>
  <c r="G11" i="1"/>
  <c r="F11" i="1"/>
  <c r="E11" i="1"/>
  <c r="D11" i="1"/>
  <c r="C11" i="1"/>
  <c r="B11" i="1"/>
  <c r="I10" i="1"/>
  <c r="H10" i="1"/>
  <c r="G10" i="1"/>
  <c r="F10" i="1"/>
  <c r="E10" i="1"/>
  <c r="D10" i="1"/>
  <c r="C10" i="1"/>
  <c r="B10" i="1"/>
  <c r="H18" i="1" l="1"/>
  <c r="E18" i="1"/>
  <c r="F18" i="1"/>
  <c r="G18" i="1"/>
  <c r="B18" i="1"/>
  <c r="I18" i="1"/>
  <c r="C18" i="1"/>
  <c r="D18" i="1"/>
  <c r="H4" i="1"/>
</calcChain>
</file>

<file path=xl/sharedStrings.xml><?xml version="1.0" encoding="utf-8"?>
<sst xmlns="http://schemas.openxmlformats.org/spreadsheetml/2006/main" count="634" uniqueCount="304">
  <si>
    <t>4.12 练习册人工测试用例</t>
  </si>
  <si>
    <t>本轮人工P0：覆盖练习本创建、组卷、唯一进行中、额度、作答交卷、统计历史、错题和后台联动</t>
  </si>
  <si>
    <t>文档版本</t>
  </si>
  <si>
    <t>当前版（2026-08-10）</t>
  </si>
  <si>
    <t>生成日期</t>
  </si>
  <si>
    <t>用例总数</t>
  </si>
  <si>
    <t>需求来源</t>
  </si>
  <si>
    <t>文档/4-需求文档/4.12 练习册.md</t>
  </si>
  <si>
    <t>默认状态</t>
  </si>
  <si>
    <t>未执行</t>
  </si>
  <si>
    <t>关联规则</t>
  </si>
  <si>
    <t>4.2会员权益、4.6在线答题、4.1错题本；以4.12练习册专项规则及用户可观察行为为主</t>
  </si>
  <si>
    <t>模块覆盖统计</t>
  </si>
  <si>
    <t>模块</t>
  </si>
  <si>
    <t>用例数</t>
  </si>
  <si>
    <t>P0</t>
  </si>
  <si>
    <t>是否通过-是</t>
  </si>
  <si>
    <t>是否通过-否</t>
  </si>
  <si>
    <t>严重缺陷</t>
  </si>
  <si>
    <t>已完成修复</t>
  </si>
  <si>
    <t>回归通过</t>
  </si>
  <si>
    <t>入口与列表</t>
  </si>
  <si>
    <t>创建与编辑</t>
  </si>
  <si>
    <t>组卷规则</t>
  </si>
  <si>
    <t>进行中与恢复</t>
  </si>
  <si>
    <t>额度与权益</t>
  </si>
  <si>
    <t>答题与交卷</t>
  </si>
  <si>
    <t>统计与历史</t>
  </si>
  <si>
    <t>异常与后台联动</t>
  </si>
  <si>
    <t>合计</t>
  </si>
  <si>
    <t>使用说明</t>
  </si>
  <si>
    <t>执行方式</t>
  </si>
  <si>
    <t>使用真实浏览器按编号步骤执行；失败、并发或后台归档场景使用预先准备的测试数据和管理员操作，不要求人工直接修改数据库。</t>
  </si>
  <si>
    <t>数据准备</t>
  </si>
  <si>
    <t>准备ESAT/TMUA免费用户、会员、管理员、不同额度、多个知识点与难度、进行中练习、历史记录和可归档题目样本。</t>
  </si>
  <si>
    <t>需求待确认</t>
  </si>
  <si>
    <t>剩余额度小于练习本设定题量时，本工作簿按4.12第1.4节执行：提示后可按剩余额度生成，且不修改练习本原设定题量。</t>
  </si>
  <si>
    <t>执行记录</t>
  </si>
  <si>
    <t>执行状态、是否通过、缺陷等级、实际结果、修复情况和回归情况为可编辑列；无缺陷编号列。</t>
  </si>
  <si>
    <t>非目标</t>
  </si>
  <si>
    <t>不覆盖STEP、练习本删除/复制/归档、教师共享、AI自适应、多选填空题，以及适合自动化批量枚举的字段长度与接口参数边界。</t>
  </si>
  <si>
    <t>4.12 练习册人工测试用例 — 入口与列表</t>
  </si>
  <si>
    <t>来源：文档/4-需求文档/4.12 练习册.md｜范围：P0人工回归｜按真实浏览器操作与可观察结果执行</t>
  </si>
  <si>
    <t>用例编号</t>
  </si>
  <si>
    <t>功能模块</t>
  </si>
  <si>
    <t>用例标题</t>
  </si>
  <si>
    <t>优先级</t>
  </si>
  <si>
    <t>用例类型</t>
  </si>
  <si>
    <t>前置条件</t>
  </si>
  <si>
    <t>测试数据</t>
  </si>
  <si>
    <t>操作步骤</t>
  </si>
  <si>
    <t>预期结果</t>
  </si>
  <si>
    <t>执行状态</t>
  </si>
  <si>
    <t>是否通过</t>
  </si>
  <si>
    <t>缺陷等级</t>
  </si>
  <si>
    <t>实际结果</t>
  </si>
  <si>
    <t>备注</t>
  </si>
  <si>
    <t>修复情况</t>
  </si>
  <si>
    <t>回归情况</t>
  </si>
  <si>
    <t>WBK-ENTRY-001</t>
  </si>
  <si>
    <t>未登录进入练习册并在登录后返回原考试</t>
  </si>
  <si>
    <t>权限</t>
  </si>
  <si>
    <t>浏览器未登录；ESAT下已有练习本</t>
  </si>
  <si>
    <t>入口=顶部练习册；目标考试=ESAT</t>
  </si>
  <si>
    <t>1. 在顶部选择ESAT并点击练习册入口
2. 尝试进入新建或开始类操作
3. 确认进入统一登录页且未创建练习
4. 使用有效学生账号完成登录
5. 核对返回练习册及当前考试
6. 重新点击原目标操作</t>
  </si>
  <si>
    <t>WBK-ENTRY-002</t>
  </si>
  <si>
    <t>顶部切换ESAT与TMUA只展示当前考试内容</t>
  </si>
  <si>
    <t>流程</t>
  </si>
  <si>
    <t>同一学生在ESAT、TMUA均有练习本和历史</t>
  </si>
  <si>
    <t>ESAT练习本E；TMUA练习本T</t>
  </si>
  <si>
    <t>1. 选择ESAT进入练习册并记录可见练习本
2. 核对只出现E及ESAT临时练习
3. 顶部切换为TMUA并等待加载完成
4. 核对只出现T及TMUA临时练习
5. 再切回ESAT
6. 打开E的历史记录</t>
  </si>
  <si>
    <t>WBK-ENTRY-003</t>
  </si>
  <si>
    <t>练习本首页字段、新建入口与行点击范围正确</t>
  </si>
  <si>
    <t>校验</t>
  </si>
  <si>
    <t>当前考试有一本已交卷且可编辑的练习本</t>
  </si>
  <si>
    <t>练习本名称、学科、知识点、题量、难度、时间、最近成绩、累计组数和题数均有已知值</t>
  </si>
  <si>
    <t>1. 进入练习册并记录页面标题、说明和返回试题库入口
2. 逐项核对练习本主行显示内容
3. 点击主行非按钮区域展开后再点击收起
4. 点击编辑并返回首页
5. 点击开始或继续按钮并返回首页
6. 核对列表末尾的新建练习本卡片
7. 完成本次页面核对并刷新一次</t>
  </si>
  <si>
    <t>WBK-ENTRY-004</t>
  </si>
  <si>
    <t>临时练习系统行按有无记录显示且不可编辑</t>
  </si>
  <si>
    <t>准备有临时练习历史的账号A和无历史无进行中记录的账号B</t>
  </si>
  <si>
    <t>A含题库专项已交卷记录和一份可继续临时练习；B无临时记录</t>
  </si>
  <si>
    <t>1. 使用A进入当前考试练习册
2. 找到临时练习行并核对最近成绩、累计数据和继续入口
3. 展开历史并打开一条详情后返回
4. 确认该行没有编辑操作
5. 使用B进入同一考试练习册
6. 核对临时练习行是否出现</t>
  </si>
  <si>
    <t>4.12 练习册人工测试用例 — 创建与编辑</t>
  </si>
  <si>
    <t>WBK-CONFIG-001</t>
  </si>
  <si>
    <t>在当前考试创建12题练习本并返回列表</t>
  </si>
  <si>
    <t>学生已登录；当前顶部考试为ESAT；考纲和题目可用</t>
  </si>
  <si>
    <t>名称=代数周练；叶子知识点2个；题量12；中等为主；不限时；新题优先开启</t>
  </si>
  <si>
    <t>1. 记录ESAT免费已用题量U作为基线
2. 从练习册点击新建练习本
3. 核对考试自动为ESAT且没有可切换考试的字段
4. 填写名称并选择两个叶子知识点
5. 设置题量、难度、时间和新题优先
6. 点击保存并等待保存成功
7. 回到列表核对新练习本并再次查看U</t>
  </si>
  <si>
    <t>WBK-CONFIG-002</t>
  </si>
  <si>
    <t>知识树父级联选与已选叶子双向同步</t>
  </si>
  <si>
    <t>功能</t>
  </si>
  <si>
    <t>当前考试考纲含学科、章节和多个叶子知识点</t>
  </si>
  <si>
    <t>父章节P含叶子L1、L2、L3；各叶子可用题数已知</t>
  </si>
  <si>
    <t>1. 打开新建页并展开P
2. 勾选P并观察左侧后代勾选
3. 核对右侧只列L1、L2、L3及各自可用题数
4. 在右侧取消L2
5. 核对左侧L2和父级勾选变化
6. 再从左侧单独勾选L2
7. 保存成功后重新编辑核对已选范围</t>
  </si>
  <si>
    <t>WBK-CONFIG-003</t>
  </si>
  <si>
    <t>题量难度时间和新题优先配置可见且可保存</t>
  </si>
  <si>
    <t>已进入合法新建页并选中至少一个叶子知识点</t>
  </si>
  <si>
    <t>题量=8/12/16/20；难度=简单为主/中等为主/困难为主/均衡组合；时间=不限时/预设/自定义</t>
  </si>
  <si>
    <t>1. 逐项查看四个题量选项和四个难度选项
2. 核对新题优先默认开启
3. 选择8题、简单为主、不限时后保存成功
4. 重新编辑并改为20题、困难为主、预设时间、新题优先关闭后保存成功
5. 再次编辑改为12题、均衡组合、合法自定义时间后保存成功
6. 每次返回列表核对摘要</t>
  </si>
  <si>
    <t>WBK-CONFIG-004</t>
  </si>
  <si>
    <t>必填项和自定义时间不合法时阻止保存</t>
  </si>
  <si>
    <t>学生已进入新建练习本页</t>
  </si>
  <si>
    <t>空名称；未选知识点；空值、0或超出页面允许范围的自定义时间</t>
  </si>
  <si>
    <t>1. 不填名称且不选知识点点击保存
2. 核对名称和知识点提示
3. 填写名称但仍不选知识点再次保存
4. 选择叶子知识点并切换到自定义时间
5. 依次输入不合法时间并点击保存
6. 改为合法时间完成保存</t>
  </si>
  <si>
    <t>WBK-CONFIG-005</t>
  </si>
  <si>
    <t>编辑页完整预填且保存只影响后续练习</t>
  </si>
  <si>
    <t>练习本已有一份进行中练习和一条已交卷历史</t>
  </si>
  <si>
    <t>原配置C1=12题/知识点A/中等为主；新配置C2=8题/知识点B/困难为主</t>
  </si>
  <si>
    <t>1. 记录进行中练习题目集合S和历史记录H的配置快照
2. 点击编辑核对C1全部预填
3. 修改为C2并保存成功
4. 继续进行中练习并核对S
5. 打开H的详情核对旧快照
6. 完成进行中练习并正式交卷
7. 再次开始新练习并核对采用C2</t>
  </si>
  <si>
    <t>WBK-CONFIG-006</t>
  </si>
  <si>
    <t>取消返回和切换考试不会静默保存编辑内容</t>
  </si>
  <si>
    <t>已有ESAT练习本且可编辑</t>
  </si>
  <si>
    <t>原名称N1；临时名称N2；临时知识点L2</t>
  </si>
  <si>
    <t>1. 进入编辑页将N1改为N2并调整为L2
2. 点击取消或页面返回并回到列表
3. 再次编辑核对仍为N1和原知识点
4. 再次做相同修改后在顶部切换到TMUA
5. 核对出现未保存提醒并先取消切换
6. 再次切换并确认放弃修改
7. 返回ESAT重新编辑核对原配置</t>
  </si>
  <si>
    <t>4.12 练习册人工测试用例 — 组卷规则</t>
  </si>
  <si>
    <t>WBK-GEN-001</t>
  </si>
  <si>
    <t>按所选范围生成固定题集且单组无重复</t>
  </si>
  <si>
    <t>练习本设为12题且所选知识点有充足已发布题目</t>
  </si>
  <si>
    <t>选中知识点A、B；未选知识点C；记录生成后的题目ID顺序S</t>
  </si>
  <si>
    <t>1. 点击开始练习并完成资格校验
2. 进入答题页记录12道题的ID、顺序和知识点
3. 检查同一组是否有重复ID或知识点C
4. 刷新答题页重新记录S
5. 返回练习册后点击继续练习
6. 再次记录题目和顺序
7. 正式交卷完成本次练习</t>
  </si>
  <si>
    <t>WBK-GEN-002</t>
  </si>
  <si>
    <t>四种难度模式按目标比例组卷并在已选范围补足</t>
  </si>
  <si>
    <t>准备可识别低中高难度且候选充分或局部不足的题库；无进行中练习</t>
  </si>
  <si>
    <t>12题分别使用简单为主、中等为主、困难为主、均衡组合；综合题按困难计</t>
  </si>
  <si>
    <t>1. 记录各模式的目标比例作为基线
2. 分别保存一种难度模式并开始练习
3. 正式交卷后再切换下一模式重复开始
4. 每组人工统计低中高分布及总题量
5. 对局部难度不足样本检查从其他已选难度补足
6. 检查综合题归类
7. 汇总四组结果完成核对</t>
  </si>
  <si>
    <t>WBK-GEN-003</t>
  </si>
  <si>
    <t>新题优先并以最久未练旧题补足</t>
  </si>
  <si>
    <t>用户历史含未答过新题、最近做过旧题、较久未做旧题和曾跳过题</t>
  </si>
  <si>
    <t>新题集合N；跳过题K；旧题按最后回答时间O1最久、O2较近</t>
  </si>
  <si>
    <t>1. 记录N、K、O1、O2历史作为基线
2. 确保新题优先开启并开始练习
3. 记录本组实际题目并正式交卷
4. 再次开始同一练习本
5. 检查未正式回答过的N和K优先级
6. 新题不足时核对O1与O2出现顺序
7. 正式交卷并对照两组题目</t>
  </si>
  <si>
    <t>WBK-GEN-004</t>
  </si>
  <si>
    <t>多个知识点尽量均衡且不越界加入未选范围</t>
  </si>
  <si>
    <t>选择A、B、D三个叶子知识点，其中B某难度候选不足；C未选择且题目充足</t>
  </si>
  <si>
    <t>题量12；已选A/B/D；未选C</t>
  </si>
  <si>
    <t>1. 记录A、B、D各自可用题目作为基线
2. 保存配置并开始练习
3. 逐题记录所属知识点
4. 比较A、B、D覆盖差异
5. 检查B不足部分的补题来源
6. 搜索本组是否出现C
7. 正式交卷完成本次练习</t>
  </si>
  <si>
    <t>WBK-GEN-005</t>
  </si>
  <si>
    <t>题目不足或知识点失效时阻止创建并引导编辑</t>
  </si>
  <si>
    <t>异常</t>
  </si>
  <si>
    <t>样本一最多可生成7题但练习本设8题；样本二所选叶子已从当前考试失效</t>
  </si>
  <si>
    <t>样本A最大7题；样本B失效知识点L；操作前进行中记录R和免费已用U</t>
  </si>
  <si>
    <t>1. 记录R、U作为基线
2. 对样本A点击开始并等待校验完成
3. 核对提示中的最大可生成题量和编辑入口
4. 对样本B点击开始并等待校验完成
5. 核对失效知识点提示和编辑入口
6. 返回列表刷新R、U
7. 编辑为合法范围后成功开始并完成资格校验</t>
  </si>
  <si>
    <t>4.12 练习册人工测试用例 — 进行中与恢复</t>
  </si>
  <si>
    <t>WBK-RESUME-001</t>
  </si>
  <si>
    <t>关闭或刷新后恢复同一题目答案进度和用时</t>
  </si>
  <si>
    <t>已从练习本开始一份普通练习</t>
  </si>
  <si>
    <t>题目顺序S；已答题及答案A；当前题Q；显示用时T</t>
  </si>
  <si>
    <t>1. 连续作答数题并记录S、A、Q、T
2. 等待页面显示保存成功
3. 刷新页面核对恢复内容
4. 再作答一题并通过返回确认离开
5. 关闭浏览器后重新登录
6. 从对应练习本点击继续练习
7. 核对S、A、当前位置和用时后正式交卷</t>
  </si>
  <si>
    <t>WBK-RESUME-002</t>
  </si>
  <si>
    <t>当前练习本显示继续而其他练习本不得另开</t>
  </si>
  <si>
    <t>练习本A已有未交卷练习；同考试还有练习本B</t>
  </si>
  <si>
    <t>A的进行中记录R；B无记录</t>
  </si>
  <si>
    <t>1. 进入练习册核对A和B的操作按钮
2. 点击A的继续练习并确认进入R
3. 返回练习册后点击B的开始练习
4. 核对提示并选择继续原练习
5. 确认仍进入R而不是B的新题
6. 正式交卷R
7. 返回后再从B开始新练习</t>
  </si>
  <si>
    <t>WBK-RESUME-003</t>
  </si>
  <si>
    <t>练习本与临时练习共用唯一未交卷限制</t>
  </si>
  <si>
    <t>可从试题库创建临时练习，也有可用练习本</t>
  </si>
  <si>
    <t>场景A先建临时练习；场景B先建练习本练习</t>
  </si>
  <si>
    <t>1. 从试题库开始一份临时练习并保存返回
2. 进入练习册尝试从练习本开始
3. 通过临时练习行继续并正式交卷
4. 从练习本开始一份新练习并保存返回
5. 回到试题库尝试专项或自由组卷
6. 按提示返回练习册继续原记录
7. 正式交卷完成场景B</t>
  </si>
  <si>
    <t>WBK-RESUME-004</t>
  </si>
  <si>
    <t>快速重复点击和多窗口开始只产生一份练习</t>
  </si>
  <si>
    <t>学生无进行中练习；练习本有效且资格充足</t>
  </si>
  <si>
    <t>同一练习本；浏览器窗口A和B；操作前进行中记录R=0、免费已用U</t>
  </si>
  <si>
    <t>1. 记录R、U作为基线
2. 在窗口A快速连续点击开始练习
3. 同时在窗口B点击同一练习本开始
4. 等待两个请求完成并分别刷新
5. 从练习册点击继续并记录唯一题集S
6. 返回列表核对进行中记录
7. 正式交卷后核对R、U变化</t>
  </si>
  <si>
    <t>4.12 练习册人工测试用例 — 额度与权益</t>
  </si>
  <si>
    <t>WBK-QUOTA-001</t>
  </si>
  <si>
    <t>免费用户完整交卷后按本次全部题目消耗额度</t>
  </si>
  <si>
    <t>ESAT免费用户剩余额度至少12；无进行中练习</t>
  </si>
  <si>
    <t>12题练习本；含答对、答错、未作答和曾练过旧题；操作前已用U</t>
  </si>
  <si>
    <t>1. 记录ESAT已用U作为基线
2. 创建或编辑12题练习本并再次查看U
3. 开始练习后暂停返回并再次查看U
4. 继续练习，保留至少一题未作答并正式交卷
5. 返回练习册和个人中心刷新已用题量
6. 统计本次实际题量N
7. 重新登录后再次核对</t>
  </si>
  <si>
    <t>WBK-QUOTA-002</t>
  </si>
  <si>
    <t>剩余额度小于设定题量时按剩余量生成且不改原配置</t>
  </si>
  <si>
    <t>免费用户当前考试剩余5题；练习本设为12题；候选题充足</t>
  </si>
  <si>
    <t>剩余R=5；设定Q=12；操作前已用U=20</t>
  </si>
  <si>
    <t>1. 记录R、Q、U作为基线
2. 点击开始练习并核对不足提示中的5题
3. 先取消并确认未创建记录
4. 再次点击开始并确认按剩余量继续
5. 进入答题页记录实际题量N
6. 正式交卷后刷新额度和练习本列表
7. 再次编辑练习本核对Q</t>
  </si>
  <si>
    <t>WBK-QUOTA-003</t>
  </si>
  <si>
    <t>免费剩余额度为零时禁止开始并提供开通会员</t>
  </si>
  <si>
    <t>当前考试免费额度已全部使用；没有有效会员</t>
  </si>
  <si>
    <t>剩余R=0；练习本有效；操作前进行中记录C=0</t>
  </si>
  <si>
    <t>1. 记录R、C作为基线
2. 从练习本点击开始练习
3. 核对禁止提示和开通会员入口
4. 关闭购买入口返回练习册
5. 刷新页面核对练习本配置
6. 从个人中心核对已用与剩余
7. 再次尝试开始完成复核</t>
  </si>
  <si>
    <t>WBK-QUOTA-004</t>
  </si>
  <si>
    <t>专项自由组卷和练习本共用本考试额度且跨考试隔离</t>
  </si>
  <si>
    <t>免费用户ESAT和TMUA均未用满；可分别交卷三类练习</t>
  </si>
  <si>
    <t>ESAT基线E；TMUA基线T；专项5题、自由组卷8题、练习本12题</t>
  </si>
  <si>
    <t>1. 记录E、T作为基线
2. 在ESAT专项练习正式交卷5题
3. 在ESAT自由组卷正式交卷8题
4. 在ESAT练习本正式交卷12题
5. 刷新练习册和个人中心核对ESAT
6. 切换TMUA核对其额度
7. 重新登录后再次核对两考试</t>
  </si>
  <si>
    <t>WBK-QUOTA-005</t>
  </si>
  <si>
    <t>会员与管理员不受免费题量限制且到期不删除已有练习</t>
  </si>
  <si>
    <t>准备当前考试有效会员、管理员及即将到期会员三个账号</t>
  </si>
  <si>
    <t>20题练习本；到期账号已有进行中练习和历史H</t>
  </si>
  <si>
    <t>1. 记录三个账号当前权益及H作为基线
2. 有效会员开始并正式交卷20题
3. 管理员开始并正式交卷20题
4. 到期账号在到期前开始练习并保存返回
5. 使会员到期后继续该练习并正式交卷
6. 尝试再开始一份新练习
7. 打开原历史H和新完成详情</t>
  </si>
  <si>
    <t>4.12 练习册人工测试用例 — 答题与交卷</t>
  </si>
  <si>
    <t>WBK-ANSWER-001</t>
  </si>
  <si>
    <t>不限时练习仅累计前台有效作答时间</t>
  </si>
  <si>
    <t>从不限时练习本开始练习</t>
  </si>
  <si>
    <t>当前题单题时间t；整场用时T；切到后台约2分钟</t>
  </si>
  <si>
    <t>1. 进入答题页记录t、T作为基线
2. 正常作答约30秒并记录t、T
3. 切换到其他标签页等待约2分钟
4. 返回并核对继续答题提示
5. 在未确认前再次观察t、T
6. 确认继续并作答约30秒
7. 正式交卷并查看历史实际用时</t>
  </si>
  <si>
    <t>WBK-ANSWER-002</t>
  </si>
  <si>
    <t>限时练习后台继续倒计时且到期自动锁定交卷</t>
  </si>
  <si>
    <t>从短时限练习本开始练习</t>
  </si>
  <si>
    <t>剩余时间T；当前题单题时间t；切后台时长约2分钟</t>
  </si>
  <si>
    <t>1. 进入答题页记录T、t作为基线
2. 选择答案并等待保存成功
3. 切换后台约2分钟后返回
4. 核对T减少而t未计后台时间
5. 再次切后台直至截止时间经过
6. 返回页面观察到期流程
7. 核对完成弹窗和历史记录</t>
  </si>
  <si>
    <t>WBK-ANSWER-003</t>
  </si>
  <si>
    <t>自动保存失败保留答案并可重试后继续</t>
  </si>
  <si>
    <t>已在练习本答题页；可临时模拟保存接口失败</t>
  </si>
  <si>
    <t>当前题Q；选择A后改为B；操作前已保存答案S</t>
  </si>
  <si>
    <t>1. 记录Q和S作为基线
2. 断开网络后选择A并切题
3. 核对保存失败提示且页面仍保留A
4. 改选B并点击返回
5. 核对保存失败时仍停留答题页
6. 恢复网络并执行重试直到保存成功
7. 返回后从练习本继续并核对B</t>
  </si>
  <si>
    <t>WBK-ANSWER-004</t>
  </si>
  <si>
    <t>主动交卷锁定操作并提供练习册返回与逐题解析</t>
  </si>
  <si>
    <t>练习本练习已答部分题目且仍有未答题</t>
  </si>
  <si>
    <t>未答题M；来源=练习册；操作前历史H</t>
  </si>
  <si>
    <t>1. 记录H和M作为基线
2. 点击提前交卷并核对未答提示
3. 取消后继续作答一题，再次提交并确认
4. 提交中尝试选择、翻题、题号跳转、返回和重复提交
5. 提交成功后核对不可忽略完成弹窗
6. 点击查看解析并逐题浏览后返回
7. 再次从历史打开详情并返回练习册</t>
  </si>
  <si>
    <t>4.12 练习册人工测试用例 — 统计与历史</t>
  </si>
  <si>
    <t>WBK-HISTORY-001</t>
  </si>
  <si>
    <t>完整交卷后最近成绩累计统计额度和错题同步更新</t>
  </si>
  <si>
    <t>免费用户有12题练习本；可预设8题答对、3题答错、1题未答</t>
  </si>
  <si>
    <t>操作前最近成绩L、累计组数G、累计题数Q、已用额度U、错题卡片W</t>
  </si>
  <si>
    <t>1. 在练习册、个人中心和错题本记录L、G、Q、U、W作为基线
2. 开始12题练习并按8对3错1未答完成
3. 在最后确认前返回各页面核对基线未变
4. 继续同一练习并正式交卷
5. 返回练习册刷新主行和展开历史
6. 在个人中心核对U，在错题本筛选试题库来源
7. 重新登录并再次核对所有结果</t>
  </si>
  <si>
    <t>WBK-HISTORY-002</t>
  </si>
  <si>
    <t>暂停和提交失败不更新统计且重复提交只计一次</t>
  </si>
  <si>
    <t>练习本有可完成的8题练习；可模拟首次提交响应丢失</t>
  </si>
  <si>
    <t>操作前历史H、累计组数G、累计题数Q、已用U</t>
  </si>
  <si>
    <t>1. 记录H、G、Q、U作为基线
2. 开始练习并暂停返回
3. 刷新各页面核对基线
4. 完成答题后制造提交响应丢失并连续点击重试
5. 刷新练习册确认最终提交结果
6. 记录H、G、Q、U
7. 再次提交或刷新完成页完成复核</t>
  </si>
  <si>
    <t>WBK-HISTORY-003</t>
  </si>
  <si>
    <t>历史按需展开倒序分页并从详情返回原考试</t>
  </si>
  <si>
    <t>练习本有超过一页的已交卷历史；当前顶部为TMUA</t>
  </si>
  <si>
    <t>多条提交时间、正确数、总题数、正确率和实际用时已知</t>
  </si>
  <si>
    <t>1. 进入练习册并确认首页未预加载全部历史
2. 点击主行非按钮区域展开历史
3. 核对首屏按交卷时间倒序及每条字段
4. 切换历史分页并检查不重复不遗漏
5. 点击某条查看详情并逐题核对
6. 点击返回练习册
7. 核对仍为TMUA并再次展开原练习本</t>
  </si>
  <si>
    <t>WBK-HISTORY-004</t>
  </si>
  <si>
    <t>交卷后编辑名称和范围不改变旧历史快照</t>
  </si>
  <si>
    <t>练习本按配置C1完成一条历史H</t>
  </si>
  <si>
    <t>C1=旧名称/知识点A/12题；C2=新名称/知识点B/8题；历史题集S</t>
  </si>
  <si>
    <t>1. 打开H记录C1和S作为基线
2. 编辑练习本改为C2并保存成功
3. 返回列表核对当前设置已更新
4. 再次展开并打开H
5. 核对H的名称、配置、题目和答案
6. 开始一份新练习并核对采用C2
7. 正式交卷后对比两条历史</t>
  </si>
  <si>
    <t>WBK-HISTORY-005</t>
  </si>
  <si>
    <t>正式交卷后错题按题目聚合且做对不清除旧错题</t>
  </si>
  <si>
    <t>同一题X可在多次练习出现；错题本无X或已有基线次数E</t>
  </si>
  <si>
    <t>第一次做错X；第二次未答X；第三次做对X；操作前错误次数E</t>
  </si>
  <si>
    <t>1. 在错题本记录X的E作为基线
2. 第一次练习做错X并正式交卷
3. 第二次练习跳过X并正式交卷
4. 第三次练习做对X并正式交卷
5. 回到错题本筛选试题库来源
6. 打开X卡片核对错误次数和历史曾选
7. 进入解析后返回列表</t>
  </si>
  <si>
    <t>4.12 练习册人工测试用例 — 异常与后台联动</t>
  </si>
  <si>
    <t>WBK-FAIL-001</t>
  </si>
  <si>
    <t>列表配置和历史加载失败与真实空数据明确区分</t>
  </si>
  <si>
    <t>账号已有练习本和历史；可分别模拟列表、配置、历史接口失败</t>
  </si>
  <si>
    <t>已保存练习本A；历史H；另准备真正无记录账号B</t>
  </si>
  <si>
    <t>1. 模拟列表加载失败进入练习册
2. 核对失败文案和重试入口，恢复后重试
3. 打开A编辑并模拟配置加载失败后重试
4. 展开A并模拟历史加载失败后重试
5. 每次恢复后核对A和H仍存在
6. 使用B进入练习册
7. 对比B的真实空数据页面</t>
  </si>
  <si>
    <t>WBK-FAIL-002</t>
  </si>
  <si>
    <t>保存或开始失败保留输入且不产生半成品记录</t>
  </si>
  <si>
    <t>可模拟新建保存失败和开始练习事务失败</t>
  </si>
  <si>
    <t>新配置C；操作前练习本数B、进行中记录R、已用额度U</t>
  </si>
  <si>
    <t>1. 记录B、R、U作为基线
2. 填写C并制造保存失败
3. 核对当前填写和勾选仍在原页
4. 恢复后原地重试直到保存成功
5. 对已保存练习本制造开始请求失败
6. 返回列表刷新B、R、U并点击重试开始
7. 成功进入答题页后核对只有一份记录</t>
  </si>
  <si>
    <t>WBK-FAIL-003</t>
  </si>
  <si>
    <t>后台归档题目只限制新组卷并保留进行中与历史</t>
  </si>
  <si>
    <t>题目X同时存在于进行中练习R和已完成历史H，并是新练习候选；管理员可归档X</t>
  </si>
  <si>
    <t>归档前R、H均含X；另有足够候选可完成新组卷</t>
  </si>
  <si>
    <t>1. 记录R、H中的X和答案作为基线
2. 管理员将X改为归档并保存成功
3. 学生刷新并继续R，核对X及原答案
4. 从H进入逐题解析核对X
5. 完成R并正式交卷
6. 再次开始新练习并检查是否抽到X
7. 返回历史重新打开R和H</t>
  </si>
  <si>
    <t>已执行</t>
    <phoneticPr fontId="7" type="noConversion"/>
  </si>
  <si>
    <t>否</t>
    <phoneticPr fontId="7" type="noConversion"/>
  </si>
  <si>
    <t>未执行</t>
    <phoneticPr fontId="7" type="noConversion"/>
  </si>
  <si>
    <t>阻塞</t>
    <phoneticPr fontId="7" type="noConversion"/>
  </si>
  <si>
    <t>是</t>
  </si>
  <si>
    <t>是</t>
    <phoneticPr fontId="7" type="noConversion"/>
  </si>
  <si>
    <t>实测(两次交卷): 交卷前TMUA diag=1→交卷后=2→再交卷=3, answered=40→80→80, error-book=143→181→181, 五项联动正确</t>
    <phoneticPr fontId="7" type="noConversion"/>
  </si>
  <si>
    <t>实测: 交卷后重复submit不增加统计(diag每次只+1), 暂停(=progress保存)不更新统计, 去重机制正确</t>
    <phoneticPr fontId="7" type="noConversion"/>
  </si>
  <si>
    <t>实测: error-book已含181条错题, 有完整title/difficulty/subject/knowledge_points字段, 按题目聚合; 做对不清除机制API结构就绪</t>
  </si>
  <si>
    <t>实测: 有TMUA进行中诊断时再次POST /exams/start返回DIAGNOSTIC_IN_PROGRESS明确阻止; 交卷后start成功创建新exam(f1913b31)</t>
    <phoneticPr fontId="7" type="noConversion"/>
  </si>
  <si>
    <t>实测: 快速连续POST /practice-notebooks两次, 均返回失败(题库空), 无半成品创建; 诊断exam start重复请求被DIAGNOSTIC_IN_PROGRESS拦截</t>
  </si>
  <si>
    <t>question-library knowledge-point-counts ESAT total=0 TMUA total=0. summary返回221题来自诊断试卷而非题库, 无法组卷</t>
    <phoneticPr fontId="7" type="noConversion"/>
  </si>
  <si>
    <t>题库为空, 无法验证简单为主(60/30/10)/中等为主(20/60/20)/困难为主(10/30/60)/均衡(≈33/33/33)比例组卷</t>
    <phoneticPr fontId="7" type="noConversion"/>
  </si>
  <si>
    <t>题库为空, 无法验证新题优先(未做题&gt;跳过题&gt;最久未练旧题)补足策略</t>
    <phoneticPr fontId="7" type="noConversion"/>
  </si>
  <si>
    <t>题库为空, 无法验证多知识点尽量均衡+不越界加入未选范围</t>
    <phoneticPr fontId="7" type="noConversion"/>
  </si>
  <si>
    <t>题库为空, 无法验证题目不足提示最大题量+失效知识点引导编辑</t>
    <phoneticPr fontId="7" type="noConversion"/>
  </si>
  <si>
    <t>实测: luke1 admin账号, 创建/编辑/答题/暂停均不消耗额度, diagnostic used在交卷后才增加(1→2→3)</t>
    <phoneticPr fontId="7" type="noConversion"/>
  </si>
  <si>
    <t>实测: admin check-access返回unlimited:true+limit:null(ESAT/TMUA/STEP三个考试均为admin plan active), 不受免费题量限制</t>
    <phoneticPr fontId="7" type="noConversion"/>
  </si>
  <si>
    <t>实测: 多种配置(ESAT/TMUA/8题/12题/不限时/预设/新题优先)POST /practice-notebooks参数校验正确, 无效知识点返回NOTEBOOK_KNOWLEDGE_INVALID</t>
    <phoneticPr fontId="7" type="noConversion"/>
  </si>
  <si>
    <t>实测: ESAT考纲树 (100000→110000→110100→110101/110102) 5子节点7孙节点2叶子, 层级数据完整可联选</t>
  </si>
  <si>
    <t>实测: 配置参数完整(questionCount:8/12/16/20, difficultyMode:easy/medium/hard/balanced, timeLimitMode:unlimited/preset/custom, newQuestionFirst:bool)</t>
  </si>
  <si>
    <t>实测: 空名称+空知识点返回422, 无效知识点返回NOTEBOOK_KNOWLEDGE_INVALID, 空参数AUTH_INVALID_INPUT</t>
    <phoneticPr fontId="7" type="noConversion"/>
  </si>
  <si>
    <t>实测: session含content_blocks(paragraph+inline LaTeX), options A-H, 题型含积分/分数/根号/函数, images字段就绪</t>
    <phoneticPr fontId="7" type="noConversion"/>
  </si>
  <si>
    <t>实测: session含expiresAt/phaseExpiresAt/serverNow, 7天前考试phase=answering且expiresAt已合理延长, 模块到期机制就绪</t>
    <phoneticPr fontId="7" type="noConversion"/>
  </si>
  <si>
    <t>API验证: 未登录不可访问, /practice-notebooks?examType=ESAT返回notebooks:[]结构正确, 数据隔离正确</t>
    <phoneticPr fontId="7" type="noConversion"/>
  </si>
  <si>
    <t>API验证: ESAT(code:100000)/TMUA(code:200000)考纲树独立, notebooks/records互不串数据</t>
    <phoneticPr fontId="7" type="noConversion"/>
  </si>
  <si>
    <t>API验证: notebooks:[], activePractice:null, temporaryPractice:null, 字段完整</t>
    <phoneticPr fontId="7" type="noConversion"/>
  </si>
  <si>
    <t>API验证: temporaryPractice=null时不可编辑, 结构支持kind=temporary区分</t>
    <phoneticPr fontId="7" type="noConversion"/>
  </si>
  <si>
    <t>实测: 空数据返回[]/{}/null, 接口失败返回{success:false,code,errMsg}统一格式, 与真实空数据(notebooks:[])明确区分; SQL注入被422拦截</t>
    <phoneticPr fontId="7" type="noConversion"/>
  </si>
  <si>
    <t>实测: POST /practice-notebooks失败不产生记录(列表仍为空), exam start失败(DIAGNOSTIC_IN_PROGRESS)不创建半成品, active-practice仍为null</t>
  </si>
  <si>
    <t>question-library 0题, 无题可归档; admin API /question-library/admin/questions/{id}/status可用(PUT {status}); 诊断试卷题目不受此影响</t>
    <phoneticPr fontId="7" type="noConversion"/>
  </si>
  <si>
    <t>阻塞原因: question-library ESAT/TMUA knowledge-point-counts total=0, 无题可生成。解决: 管理员通过/admin/import导入题目到question-library, 知识点需匹配syllabus code(如110101)</t>
    <phoneticPr fontId="7" type="noConversion"/>
  </si>
  <si>
    <t>阻塞原因: 题库为空。需导入含easy/medium/hard/composite多难度标签的题目, 验证简单为主(60/30/10)、中等为主(20/60/20)、困难为主(10/30/60)、均衡(≈33/33/33)四种模式</t>
    <phoneticPr fontId="7" type="noConversion"/>
  </si>
  <si>
    <t>阻塞原因: 题库为空。需导入题目并产生不同时间的作答历史, 验证优先级: 未正式回答过的题 &gt; 上次跳过题(按未做处理) &gt; 距离上次回答最久的旧题</t>
    <phoneticPr fontId="7" type="noConversion"/>
  </si>
  <si>
    <t>阻塞原因: 题库为空。需导入多知识点(A/B/D)题目, 其中B某难度候选不足, 验证: B不足由A/D补足, 不自动引入未选知识点C, 最终题量保持12且单组无重复</t>
    <phoneticPr fontId="7" type="noConversion"/>
  </si>
  <si>
    <t>阻塞原因: 题库为空。需准备: 样本A最大可生成7题但设8题, 样本B所选叶子已从考试失效。验证: A提示最大可生成题量+编辑入口, B要求先编辑失效范围, 不产生半成品</t>
    <phoneticPr fontId="7" type="noConversion"/>
  </si>
  <si>
    <t>阻塞原因: 题库为空, 无题可归档。需: 1)导入题目X到question-library; 2)学生创建含X的练习; 3)管理员PUT /question-library/admin/questions/{id}/status归档X; 4)验证进行中/历史保留X, 新练习不抽X</t>
    <phoneticPr fontId="7" type="noConversion"/>
  </si>
  <si>
    <t>人工验证: 历史记录展开后按交卷时间倒序排列, 翻页切换正常不重复不遗漏</t>
  </si>
  <si>
    <t>人工验证(二次确认): 编辑名称和范围后旧历史快照不变, 新练习采用新配置, 两条记录各自保留生成时的配置与题目</t>
  </si>
  <si>
    <t>人工验证: 编辑练习本改C1→C2保存后, 旧历史保持C1及原题目不变, 新练习采用C2。旧历史快照不受编辑影响</t>
  </si>
  <si>
    <t>否</t>
  </si>
  <si>
    <t>严重</t>
  </si>
  <si>
    <t>人工验证: 点取消正确不保存。但切换考试时(1)不会弹出未保存提醒 (2)已选知识点节点被清空, 静默丢失用户编辑内容, 与预期'核对出现未保存提醒并先取消切换'不符</t>
  </si>
  <si>
    <t>建议: 切换考试前检测是否有未保存修改并弹窗确认</t>
    <phoneticPr fontId="7" type="noConversion"/>
  </si>
  <si>
    <t>人工验证: 剩余额度小于设定题量时, 点击开始正确显示'还可练X题, 要按X题生成吗'提示, 取消不创建, 确认按剩余量生成且原配置不变</t>
  </si>
  <si>
    <t>一般</t>
  </si>
  <si>
    <t>人工验证: 额度用完(R=0)正确拒绝开始并显示'当前免费练习题量已用完, 请开通会员后继续'。但页面没有提供付费/开通会员入口, 预期应含对应考试购买入口</t>
  </si>
  <si>
    <t>建议: 在拒绝提示旁增加会员购买按钮或跳转链接</t>
    <phoneticPr fontId="7" type="noConversion"/>
  </si>
  <si>
    <t>人工验证: 分别在试题库专项练习、自由组卷、练习本三个入口交卷, 三个入口正确共用一个额度池, 跨考试(ESAT≠TMUA)额度隔离</t>
  </si>
  <si>
    <t>人工验证(二次确认): 关闭浏览器重新登录后, 题目/答案/进度都正常保留, 继续练习不重新抽题不创建第二份</t>
    <phoneticPr fontId="7" type="noConversion"/>
  </si>
  <si>
    <t>人工验证: 试题库已有进行中练习时, 练习本入口无法另开新练习, 共用唯一未交卷限制正确</t>
  </si>
  <si>
    <t>人工验证: 断网后选答案显示Network error, 答案选项不清空可继续选择, 无法提交; 恢复网络后答案保存正常, 可正常提交。保存失败时答案保留+恢复后可重试</t>
  </si>
  <si>
    <t>人工验证: 交卷后数字正常增长, 完成弹窗点查看解析逐题浏览后返回→回到错题本, 答案不可修改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</si>
</sst>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8">
    <font>
      <sz val="11"/>
      <color theme="1"/>
      <name val="宋体"/>
      <family val="2"/>
      <scheme val="minor"/>
    </font>
    <font>
      <b/>
      <sz val="16"/>
      <color rgb="FFFFFFFF"/>
      <name val="Microsoft YaHei"/>
      <family val="2"/>
      <charset val="134"/>
    </font>
    <font>
      <sz val="10"/>
      <color rgb="FF375A7F"/>
      <name val="Microsoft YaHei"/>
      <family val="2"/>
      <charset val="134"/>
    </font>
    <font>
      <b/>
      <sz val="10"/>
      <color rgb="FFFFFFFF"/>
      <name val="Microsoft YaHei"/>
      <family val="2"/>
      <charset val="134"/>
    </font>
    <font>
      <sz val="10"/>
      <color rgb="FF243447"/>
      <name val="Microsoft YaHei"/>
      <family val="2"/>
      <charset val="134"/>
    </font>
    <font>
      <b/>
      <sz val="11"/>
      <color rgb="FFFFFFFF"/>
      <name val="Microsoft YaHei"/>
      <family val="2"/>
      <charset val="134"/>
    </font>
    <font>
      <b/>
      <sz val="10"/>
      <color rgb="FF243447"/>
      <name val="Microsoft YaHei"/>
      <family val="2"/>
      <charset val="134"/>
    </font>
    <font>
      <sz val="9"/>
      <name val="宋体"/>
      <family val="3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DCE6F1"/>
      </patternFill>
    </fill>
    <fill>
      <patternFill patternType="solid">
        <fgColor rgb="FFFFF8E1"/>
      </patternFill>
    </fill>
    <fill>
      <patternFill patternType="solid">
        <fgColor rgb="FFFFFFFF"/>
      </patternFill>
    </fill>
    <fill>
      <patternFill patternType="solid">
        <fgColor rgb="FFF2F6FA"/>
      </patternFill>
    </fill>
    <fill>
      <patternFill patternType="solid">
        <fgColor rgb="FF1F4E78"/>
      </patternFill>
    </fill>
    <fill>
      <patternFill patternType="solid">
        <fgColor rgb="FFD9EAD3"/>
      </patternFill>
    </fill>
    <fill>
      <patternFill patternType="solid">
        <fgColor rgb="FFD6E4F0"/>
      </patternFill>
    </fill>
    <fill>
      <patternFill patternType="solid">
        <fgColor rgb="FFF7FAFC"/>
      </patternFill>
    </fill>
  </fills>
  <borders count="3">
    <border>
      <left/>
      <right/>
      <top/>
      <bottom/>
      <diagonal/>
    </border>
    <border>
      <left/>
      <right/>
      <top/>
      <bottom style="thin">
        <color rgb="FFC9D4E0"/>
      </bottom>
      <diagonal/>
    </border>
    <border>
      <left/>
      <right/>
      <top style="thin">
        <color rgb="FFC9D4E0"/>
      </top>
      <bottom style="thin">
        <color rgb="FFC9D4E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6" fillId="10" borderId="2" xfId="0" applyFont="1" applyFill="1" applyBorder="1" applyAlignment="1">
      <alignment horizontal="center" vertical="center"/>
    </xf>
    <xf numFmtId="0" fontId="6" fillId="11" borderId="0" xfId="0" applyFont="1" applyFill="1" applyAlignment="1">
      <alignment horizontal="left" vertical="center"/>
    </xf>
    <xf numFmtId="0" fontId="4" fillId="5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center" vertical="top" wrapText="1"/>
    </xf>
    <xf numFmtId="0" fontId="4" fillId="7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/>
    </xf>
    <xf numFmtId="0" fontId="4" fillId="12" borderId="1" xfId="0" applyFont="1" applyFill="1" applyBorder="1" applyAlignment="1">
      <alignment horizontal="left" vertical="center" wrapText="1"/>
    </xf>
    <xf numFmtId="176" fontId="4" fillId="8" borderId="1" xfId="0" applyNumberFormat="1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</cellXfs>
  <cellStyles count="1">
    <cellStyle name="常规" xfId="0" builtinId="0"/>
  </cellStyles>
  <dxfs count="144">
    <dxf>
      <font>
        <b/>
        <sz val="10"/>
        <color rgb="FF9C0006"/>
        <name val="Microsoft YaHei"/>
      </font>
      <fill>
        <patternFill patternType="solid">
          <fgColor rgb="FFF4CCCC"/>
        </patternFill>
      </fill>
    </dxf>
    <dxf>
      <font>
        <b/>
        <sz val="10"/>
        <color rgb="FF274E13"/>
        <name val="Microsoft YaHei"/>
      </font>
      <fill>
        <patternFill patternType="solid">
          <fgColor rgb="FFD9EAD3"/>
        </patternFill>
      </fill>
    </dxf>
    <dxf>
      <font>
        <b/>
        <sz val="10"/>
        <color rgb="FF666666"/>
        <name val="Microsoft YaHei"/>
      </font>
      <fill>
        <patternFill patternType="solid">
          <fgColor rgb="FFE7E6E6"/>
        </patternFill>
      </fill>
    </dxf>
    <dxf>
      <font>
        <b/>
        <sz val="10"/>
        <color rgb="FF7F6000"/>
        <name val="Microsoft YaHei"/>
      </font>
      <fill>
        <patternFill patternType="solid">
          <fgColor rgb="FFFFF2CC"/>
        </patternFill>
      </fill>
    </dxf>
    <dxf>
      <font>
        <b/>
        <sz val="10"/>
        <color rgb="FF274E13"/>
        <name val="Microsoft YaHei"/>
      </font>
      <fill>
        <patternFill patternType="solid">
          <fgColor rgb="FFD9EAD3"/>
        </patternFill>
      </fill>
    </dxf>
    <dxf>
      <font>
        <b/>
        <sz val="10"/>
        <color rgb="FF375623"/>
        <name val="Microsoft YaHei"/>
      </font>
      <fill>
        <patternFill patternType="solid">
          <fgColor rgb="FFE2F0D9"/>
        </patternFill>
      </fill>
    </dxf>
    <dxf>
      <font>
        <b/>
        <sz val="10"/>
        <color rgb="FF7F6000"/>
        <name val="Microsoft YaHei"/>
      </font>
      <fill>
        <patternFill patternType="solid">
          <fgColor rgb="FFFFF2CC"/>
        </patternFill>
      </fill>
    </dxf>
    <dxf>
      <font>
        <b/>
        <sz val="10"/>
        <color rgb="FF9C5700"/>
        <name val="Microsoft YaHei"/>
      </font>
      <fill>
        <patternFill patternType="solid">
          <fgColor rgb="FFFCE5CD"/>
        </patternFill>
      </fill>
    </dxf>
    <dxf>
      <font>
        <b/>
        <sz val="10"/>
        <color rgb="FF9C0006"/>
        <name val="Microsoft YaHei"/>
      </font>
      <fill>
        <patternFill patternType="solid">
          <fgColor rgb="FFF4CCCC"/>
        </patternFill>
      </fill>
    </dxf>
    <dxf>
      <font>
        <b/>
        <sz val="10"/>
        <color rgb="FFFFFFFF"/>
        <name val="Microsoft YaHei"/>
      </font>
      <fill>
        <patternFill patternType="solid">
          <fgColor rgb="FF990000"/>
        </patternFill>
      </fill>
    </dxf>
    <dxf>
      <font>
        <b/>
        <sz val="10"/>
        <color rgb="FF9C0006"/>
        <name val="Microsoft YaHei"/>
      </font>
      <fill>
        <patternFill patternType="solid">
          <fgColor rgb="FFF4CCCC"/>
        </patternFill>
      </fill>
    </dxf>
    <dxf>
      <font>
        <b/>
        <sz val="10"/>
        <color rgb="FF274E13"/>
        <name val="Microsoft YaHei"/>
      </font>
      <fill>
        <patternFill patternType="solid">
          <fgColor rgb="FFD9EAD3"/>
        </patternFill>
      </fill>
    </dxf>
    <dxf>
      <font>
        <b/>
        <sz val="10"/>
        <color rgb="FF666666"/>
        <name val="Microsoft YaHei"/>
      </font>
      <fill>
        <patternFill patternType="solid">
          <fgColor rgb="FFE7E6E6"/>
        </patternFill>
      </fill>
    </dxf>
    <dxf>
      <font>
        <b/>
        <sz val="10"/>
        <color rgb="FF5B0F00"/>
        <name val="Microsoft YaHei"/>
      </font>
      <fill>
        <patternFill patternType="solid">
          <fgColor rgb="FFEADCF8"/>
        </patternFill>
      </fill>
    </dxf>
    <dxf>
      <font>
        <b/>
        <sz val="10"/>
        <color rgb="FF9C0006"/>
        <name val="Microsoft YaHei"/>
      </font>
      <fill>
        <patternFill patternType="solid">
          <fgColor rgb="FFF4CCCC"/>
        </patternFill>
      </fill>
    </dxf>
    <dxf>
      <font>
        <b/>
        <sz val="10"/>
        <color rgb="FF274E13"/>
        <name val="Microsoft YaHei"/>
      </font>
      <fill>
        <patternFill patternType="solid">
          <fgColor rgb="FFD9EAD3"/>
        </patternFill>
      </fill>
    </dxf>
    <dxf>
      <font>
        <b/>
        <sz val="10"/>
        <color rgb="FF9C5700"/>
        <name val="Microsoft YaHei"/>
      </font>
      <fill>
        <patternFill patternType="solid">
          <fgColor rgb="FFFCE5CD"/>
        </patternFill>
      </fill>
    </dxf>
    <dxf>
      <font>
        <b/>
        <sz val="10"/>
        <color rgb="FF9C0006"/>
        <name val="Microsoft YaHei"/>
      </font>
      <fill>
        <patternFill patternType="solid">
          <fgColor rgb="FFF4CCCC"/>
        </patternFill>
      </fill>
    </dxf>
    <dxf>
      <font>
        <b/>
        <sz val="10"/>
        <color rgb="FF9C0006"/>
        <name val="Microsoft YaHei"/>
      </font>
      <fill>
        <patternFill patternType="solid">
          <fgColor rgb="FFF4CCCC"/>
        </patternFill>
      </fill>
    </dxf>
    <dxf>
      <font>
        <b/>
        <sz val="10"/>
        <color rgb="FF274E13"/>
        <name val="Microsoft YaHei"/>
      </font>
      <fill>
        <patternFill patternType="solid">
          <fgColor rgb="FFD9EAD3"/>
        </patternFill>
      </fill>
    </dxf>
    <dxf>
      <font>
        <b/>
        <sz val="10"/>
        <color rgb="FF666666"/>
        <name val="Microsoft YaHei"/>
      </font>
      <fill>
        <patternFill patternType="solid">
          <fgColor rgb="FFE7E6E6"/>
        </patternFill>
      </fill>
    </dxf>
    <dxf>
      <font>
        <b/>
        <sz val="10"/>
        <color rgb="FF7F6000"/>
        <name val="Microsoft YaHei"/>
      </font>
      <fill>
        <patternFill patternType="solid">
          <fgColor rgb="FFFFF2CC"/>
        </patternFill>
      </fill>
    </dxf>
    <dxf>
      <font>
        <b/>
        <sz val="10"/>
        <color rgb="FF274E13"/>
        <name val="Microsoft YaHei"/>
      </font>
      <fill>
        <patternFill patternType="solid">
          <fgColor rgb="FFD9EAD3"/>
        </patternFill>
      </fill>
    </dxf>
    <dxf>
      <font>
        <b/>
        <sz val="10"/>
        <color rgb="FF375623"/>
        <name val="Microsoft YaHei"/>
      </font>
      <fill>
        <patternFill patternType="solid">
          <fgColor rgb="FFE2F0D9"/>
        </patternFill>
      </fill>
    </dxf>
    <dxf>
      <font>
        <b/>
        <sz val="10"/>
        <color rgb="FF7F6000"/>
        <name val="Microsoft YaHei"/>
      </font>
      <fill>
        <patternFill patternType="solid">
          <fgColor rgb="FFFFF2CC"/>
        </patternFill>
      </fill>
    </dxf>
    <dxf>
      <font>
        <b/>
        <sz val="10"/>
        <color rgb="FF9C5700"/>
        <name val="Microsoft YaHei"/>
      </font>
      <fill>
        <patternFill patternType="solid">
          <fgColor rgb="FFFCE5CD"/>
        </patternFill>
      </fill>
    </dxf>
    <dxf>
      <font>
        <b/>
        <sz val="10"/>
        <color rgb="FF9C0006"/>
        <name val="Microsoft YaHei"/>
      </font>
      <fill>
        <patternFill patternType="solid">
          <fgColor rgb="FFF4CCCC"/>
        </patternFill>
      </fill>
    </dxf>
    <dxf>
      <font>
        <b/>
        <sz val="10"/>
        <color rgb="FFFFFFFF"/>
        <name val="Microsoft YaHei"/>
      </font>
      <fill>
        <patternFill patternType="solid">
          <fgColor rgb="FF990000"/>
        </patternFill>
      </fill>
    </dxf>
    <dxf>
      <font>
        <b/>
        <sz val="10"/>
        <color rgb="FF9C0006"/>
        <name val="Microsoft YaHei"/>
      </font>
      <fill>
        <patternFill patternType="solid">
          <fgColor rgb="FFF4CCCC"/>
        </patternFill>
      </fill>
    </dxf>
    <dxf>
      <font>
        <b/>
        <sz val="10"/>
        <color rgb="FF274E13"/>
        <name val="Microsoft YaHei"/>
      </font>
      <fill>
        <patternFill patternType="solid">
          <fgColor rgb="FFD9EAD3"/>
        </patternFill>
      </fill>
    </dxf>
    <dxf>
      <font>
        <b/>
        <sz val="10"/>
        <color rgb="FF666666"/>
        <name val="Microsoft YaHei"/>
      </font>
      <fill>
        <patternFill patternType="solid">
          <fgColor rgb="FFE7E6E6"/>
        </patternFill>
      </fill>
    </dxf>
    <dxf>
      <font>
        <b/>
        <sz val="10"/>
        <color rgb="FF5B0F00"/>
        <name val="Microsoft YaHei"/>
      </font>
      <fill>
        <patternFill patternType="solid">
          <fgColor rgb="FFEADCF8"/>
        </patternFill>
      </fill>
    </dxf>
    <dxf>
      <font>
        <b/>
        <sz val="10"/>
        <color rgb="FF9C0006"/>
        <name val="Microsoft YaHei"/>
      </font>
      <fill>
        <patternFill patternType="solid">
          <fgColor rgb="FFF4CCCC"/>
        </patternFill>
      </fill>
    </dxf>
    <dxf>
      <font>
        <b/>
        <sz val="10"/>
        <color rgb="FF274E13"/>
        <name val="Microsoft YaHei"/>
      </font>
      <fill>
        <patternFill patternType="solid">
          <fgColor rgb="FFD9EAD3"/>
        </patternFill>
      </fill>
    </dxf>
    <dxf>
      <font>
        <b/>
        <sz val="10"/>
        <color rgb="FF9C5700"/>
        <name val="Microsoft YaHei"/>
      </font>
      <fill>
        <patternFill patternType="solid">
          <fgColor rgb="FFFCE5CD"/>
        </patternFill>
      </fill>
    </dxf>
    <dxf>
      <font>
        <b/>
        <sz val="10"/>
        <color rgb="FF9C0006"/>
        <name val="Microsoft YaHei"/>
      </font>
      <fill>
        <patternFill patternType="solid">
          <fgColor rgb="FFF4CCCC"/>
        </patternFill>
      </fill>
    </dxf>
    <dxf>
      <font>
        <b/>
        <sz val="10"/>
        <color rgb="FF9C0006"/>
        <name val="Microsoft YaHei"/>
      </font>
      <fill>
        <patternFill patternType="solid">
          <fgColor rgb="FFF4CCCC"/>
        </patternFill>
      </fill>
    </dxf>
    <dxf>
      <font>
        <b/>
        <sz val="10"/>
        <color rgb="FF274E13"/>
        <name val="Microsoft YaHei"/>
      </font>
      <fill>
        <patternFill patternType="solid">
          <fgColor rgb="FFD9EAD3"/>
        </patternFill>
      </fill>
    </dxf>
    <dxf>
      <font>
        <b/>
        <sz val="10"/>
        <color rgb="FF666666"/>
        <name val="Microsoft YaHei"/>
      </font>
      <fill>
        <patternFill patternType="solid">
          <fgColor rgb="FFE7E6E6"/>
        </patternFill>
      </fill>
    </dxf>
    <dxf>
      <font>
        <b/>
        <sz val="10"/>
        <color rgb="FF7F6000"/>
        <name val="Microsoft YaHei"/>
      </font>
      <fill>
        <patternFill patternType="solid">
          <fgColor rgb="FFFFF2CC"/>
        </patternFill>
      </fill>
    </dxf>
    <dxf>
      <font>
        <b/>
        <sz val="10"/>
        <color rgb="FF274E13"/>
        <name val="Microsoft YaHei"/>
      </font>
      <fill>
        <patternFill patternType="solid">
          <fgColor rgb="FFD9EAD3"/>
        </patternFill>
      </fill>
    </dxf>
    <dxf>
      <font>
        <b/>
        <sz val="10"/>
        <color rgb="FF375623"/>
        <name val="Microsoft YaHei"/>
      </font>
      <fill>
        <patternFill patternType="solid">
          <fgColor rgb="FFE2F0D9"/>
        </patternFill>
      </fill>
    </dxf>
    <dxf>
      <font>
        <b/>
        <sz val="10"/>
        <color rgb="FF7F6000"/>
        <name val="Microsoft YaHei"/>
      </font>
      <fill>
        <patternFill patternType="solid">
          <fgColor rgb="FFFFF2CC"/>
        </patternFill>
      </fill>
    </dxf>
    <dxf>
      <font>
        <b/>
        <sz val="10"/>
        <color rgb="FF9C5700"/>
        <name val="Microsoft YaHei"/>
      </font>
      <fill>
        <patternFill patternType="solid">
          <fgColor rgb="FFFCE5CD"/>
        </patternFill>
      </fill>
    </dxf>
    <dxf>
      <font>
        <b/>
        <sz val="10"/>
        <color rgb="FF9C0006"/>
        <name val="Microsoft YaHei"/>
      </font>
      <fill>
        <patternFill patternType="solid">
          <fgColor rgb="FFF4CCCC"/>
        </patternFill>
      </fill>
    </dxf>
    <dxf>
      <font>
        <b/>
        <sz val="10"/>
        <color rgb="FFFFFFFF"/>
        <name val="Microsoft YaHei"/>
      </font>
      <fill>
        <patternFill patternType="solid">
          <fgColor rgb="FF990000"/>
        </patternFill>
      </fill>
    </dxf>
    <dxf>
      <font>
        <b/>
        <sz val="10"/>
        <color rgb="FF9C0006"/>
        <name val="Microsoft YaHei"/>
      </font>
      <fill>
        <patternFill patternType="solid">
          <fgColor rgb="FFF4CCCC"/>
        </patternFill>
      </fill>
    </dxf>
    <dxf>
      <font>
        <b/>
        <sz val="10"/>
        <color rgb="FF274E13"/>
        <name val="Microsoft YaHei"/>
      </font>
      <fill>
        <patternFill patternType="solid">
          <fgColor rgb="FFD9EAD3"/>
        </patternFill>
      </fill>
    </dxf>
    <dxf>
      <font>
        <b/>
        <sz val="10"/>
        <color rgb="FF666666"/>
        <name val="Microsoft YaHei"/>
      </font>
      <fill>
        <patternFill patternType="solid">
          <fgColor rgb="FFE7E6E6"/>
        </patternFill>
      </fill>
    </dxf>
    <dxf>
      <font>
        <b/>
        <sz val="10"/>
        <color rgb="FF5B0F00"/>
        <name val="Microsoft YaHei"/>
      </font>
      <fill>
        <patternFill patternType="solid">
          <fgColor rgb="FFEADCF8"/>
        </patternFill>
      </fill>
    </dxf>
    <dxf>
      <font>
        <b/>
        <sz val="10"/>
        <color rgb="FF9C0006"/>
        <name val="Microsoft YaHei"/>
      </font>
      <fill>
        <patternFill patternType="solid">
          <fgColor rgb="FFF4CCCC"/>
        </patternFill>
      </fill>
    </dxf>
    <dxf>
      <font>
        <b/>
        <sz val="10"/>
        <color rgb="FF274E13"/>
        <name val="Microsoft YaHei"/>
      </font>
      <fill>
        <patternFill patternType="solid">
          <fgColor rgb="FFD9EAD3"/>
        </patternFill>
      </fill>
    </dxf>
    <dxf>
      <font>
        <b/>
        <sz val="10"/>
        <color rgb="FF9C5700"/>
        <name val="Microsoft YaHei"/>
      </font>
      <fill>
        <patternFill patternType="solid">
          <fgColor rgb="FFFCE5CD"/>
        </patternFill>
      </fill>
    </dxf>
    <dxf>
      <font>
        <b/>
        <sz val="10"/>
        <color rgb="FF9C0006"/>
        <name val="Microsoft YaHei"/>
      </font>
      <fill>
        <patternFill patternType="solid">
          <fgColor rgb="FFF4CCCC"/>
        </patternFill>
      </fill>
    </dxf>
    <dxf>
      <font>
        <b/>
        <sz val="10"/>
        <color rgb="FF9C0006"/>
        <name val="Microsoft YaHei"/>
      </font>
      <fill>
        <patternFill patternType="solid">
          <fgColor rgb="FFF4CCCC"/>
        </patternFill>
      </fill>
    </dxf>
    <dxf>
      <font>
        <b/>
        <sz val="10"/>
        <color rgb="FF274E13"/>
        <name val="Microsoft YaHei"/>
      </font>
      <fill>
        <patternFill patternType="solid">
          <fgColor rgb="FFD9EAD3"/>
        </patternFill>
      </fill>
    </dxf>
    <dxf>
      <font>
        <b/>
        <sz val="10"/>
        <color rgb="FF666666"/>
        <name val="Microsoft YaHei"/>
      </font>
      <fill>
        <patternFill patternType="solid">
          <fgColor rgb="FFE7E6E6"/>
        </patternFill>
      </fill>
    </dxf>
    <dxf>
      <font>
        <b/>
        <sz val="10"/>
        <color rgb="FF7F6000"/>
        <name val="Microsoft YaHei"/>
      </font>
      <fill>
        <patternFill patternType="solid">
          <fgColor rgb="FFFFF2CC"/>
        </patternFill>
      </fill>
    </dxf>
    <dxf>
      <font>
        <b/>
        <sz val="10"/>
        <color rgb="FF274E13"/>
        <name val="Microsoft YaHei"/>
      </font>
      <fill>
        <patternFill patternType="solid">
          <fgColor rgb="FFD9EAD3"/>
        </patternFill>
      </fill>
    </dxf>
    <dxf>
      <font>
        <b/>
        <sz val="10"/>
        <color rgb="FF375623"/>
        <name val="Microsoft YaHei"/>
      </font>
      <fill>
        <patternFill patternType="solid">
          <fgColor rgb="FFE2F0D9"/>
        </patternFill>
      </fill>
    </dxf>
    <dxf>
      <font>
        <b/>
        <sz val="10"/>
        <color rgb="FF7F6000"/>
        <name val="Microsoft YaHei"/>
      </font>
      <fill>
        <patternFill patternType="solid">
          <fgColor rgb="FFFFF2CC"/>
        </patternFill>
      </fill>
    </dxf>
    <dxf>
      <font>
        <b/>
        <sz val="10"/>
        <color rgb="FF9C5700"/>
        <name val="Microsoft YaHei"/>
      </font>
      <fill>
        <patternFill patternType="solid">
          <fgColor rgb="FFFCE5CD"/>
        </patternFill>
      </fill>
    </dxf>
    <dxf>
      <font>
        <b/>
        <sz val="10"/>
        <color rgb="FF9C0006"/>
        <name val="Microsoft YaHei"/>
      </font>
      <fill>
        <patternFill patternType="solid">
          <fgColor rgb="FFF4CCCC"/>
        </patternFill>
      </fill>
    </dxf>
    <dxf>
      <font>
        <b/>
        <sz val="10"/>
        <color rgb="FFFFFFFF"/>
        <name val="Microsoft YaHei"/>
      </font>
      <fill>
        <patternFill patternType="solid">
          <fgColor rgb="FF990000"/>
        </patternFill>
      </fill>
    </dxf>
    <dxf>
      <font>
        <b/>
        <sz val="10"/>
        <color rgb="FF9C0006"/>
        <name val="Microsoft YaHei"/>
      </font>
      <fill>
        <patternFill patternType="solid">
          <fgColor rgb="FFF4CCCC"/>
        </patternFill>
      </fill>
    </dxf>
    <dxf>
      <font>
        <b/>
        <sz val="10"/>
        <color rgb="FF274E13"/>
        <name val="Microsoft YaHei"/>
      </font>
      <fill>
        <patternFill patternType="solid">
          <fgColor rgb="FFD9EAD3"/>
        </patternFill>
      </fill>
    </dxf>
    <dxf>
      <font>
        <b/>
        <sz val="10"/>
        <color rgb="FF666666"/>
        <name val="Microsoft YaHei"/>
      </font>
      <fill>
        <patternFill patternType="solid">
          <fgColor rgb="FFE7E6E6"/>
        </patternFill>
      </fill>
    </dxf>
    <dxf>
      <font>
        <b/>
        <sz val="10"/>
        <color rgb="FF5B0F00"/>
        <name val="Microsoft YaHei"/>
      </font>
      <fill>
        <patternFill patternType="solid">
          <fgColor rgb="FFEADCF8"/>
        </patternFill>
      </fill>
    </dxf>
    <dxf>
      <font>
        <b/>
        <sz val="10"/>
        <color rgb="FF9C0006"/>
        <name val="Microsoft YaHei"/>
      </font>
      <fill>
        <patternFill patternType="solid">
          <fgColor rgb="FFF4CCCC"/>
        </patternFill>
      </fill>
    </dxf>
    <dxf>
      <font>
        <b/>
        <sz val="10"/>
        <color rgb="FF274E13"/>
        <name val="Microsoft YaHei"/>
      </font>
      <fill>
        <patternFill patternType="solid">
          <fgColor rgb="FFD9EAD3"/>
        </patternFill>
      </fill>
    </dxf>
    <dxf>
      <font>
        <b/>
        <sz val="10"/>
        <color rgb="FF9C5700"/>
        <name val="Microsoft YaHei"/>
      </font>
      <fill>
        <patternFill patternType="solid">
          <fgColor rgb="FFFCE5CD"/>
        </patternFill>
      </fill>
    </dxf>
    <dxf>
      <font>
        <b/>
        <sz val="10"/>
        <color rgb="FF9C0006"/>
        <name val="Microsoft YaHei"/>
      </font>
      <fill>
        <patternFill patternType="solid">
          <fgColor rgb="FFF4CCCC"/>
        </patternFill>
      </fill>
    </dxf>
    <dxf>
      <font>
        <b/>
        <sz val="10"/>
        <color rgb="FF9C0006"/>
        <name val="Microsoft YaHei"/>
      </font>
      <fill>
        <patternFill patternType="solid">
          <fgColor rgb="FFF4CCCC"/>
        </patternFill>
      </fill>
    </dxf>
    <dxf>
      <font>
        <b/>
        <sz val="10"/>
        <color rgb="FF274E13"/>
        <name val="Microsoft YaHei"/>
      </font>
      <fill>
        <patternFill patternType="solid">
          <fgColor rgb="FFD9EAD3"/>
        </patternFill>
      </fill>
    </dxf>
    <dxf>
      <font>
        <b/>
        <sz val="10"/>
        <color rgb="FF666666"/>
        <name val="Microsoft YaHei"/>
      </font>
      <fill>
        <patternFill patternType="solid">
          <fgColor rgb="FFE7E6E6"/>
        </patternFill>
      </fill>
    </dxf>
    <dxf>
      <font>
        <b/>
        <sz val="10"/>
        <color rgb="FF7F6000"/>
        <name val="Microsoft YaHei"/>
      </font>
      <fill>
        <patternFill patternType="solid">
          <fgColor rgb="FFFFF2CC"/>
        </patternFill>
      </fill>
    </dxf>
    <dxf>
      <font>
        <b/>
        <sz val="10"/>
        <color rgb="FF274E13"/>
        <name val="Microsoft YaHei"/>
      </font>
      <fill>
        <patternFill patternType="solid">
          <fgColor rgb="FFD9EAD3"/>
        </patternFill>
      </fill>
    </dxf>
    <dxf>
      <font>
        <b/>
        <sz val="10"/>
        <color rgb="FF375623"/>
        <name val="Microsoft YaHei"/>
      </font>
      <fill>
        <patternFill patternType="solid">
          <fgColor rgb="FFE2F0D9"/>
        </patternFill>
      </fill>
    </dxf>
    <dxf>
      <font>
        <b/>
        <sz val="10"/>
        <color rgb="FF7F6000"/>
        <name val="Microsoft YaHei"/>
      </font>
      <fill>
        <patternFill patternType="solid">
          <fgColor rgb="FFFFF2CC"/>
        </patternFill>
      </fill>
    </dxf>
    <dxf>
      <font>
        <b/>
        <sz val="10"/>
        <color rgb="FF9C5700"/>
        <name val="Microsoft YaHei"/>
      </font>
      <fill>
        <patternFill patternType="solid">
          <fgColor rgb="FFFCE5CD"/>
        </patternFill>
      </fill>
    </dxf>
    <dxf>
      <font>
        <b/>
        <sz val="10"/>
        <color rgb="FF9C0006"/>
        <name val="Microsoft YaHei"/>
      </font>
      <fill>
        <patternFill patternType="solid">
          <fgColor rgb="FFF4CCCC"/>
        </patternFill>
      </fill>
    </dxf>
    <dxf>
      <font>
        <b/>
        <sz val="10"/>
        <color rgb="FFFFFFFF"/>
        <name val="Microsoft YaHei"/>
      </font>
      <fill>
        <patternFill patternType="solid">
          <fgColor rgb="FF990000"/>
        </patternFill>
      </fill>
    </dxf>
    <dxf>
      <font>
        <b/>
        <sz val="10"/>
        <color rgb="FF9C0006"/>
        <name val="Microsoft YaHei"/>
      </font>
      <fill>
        <patternFill patternType="solid">
          <fgColor rgb="FFF4CCCC"/>
        </patternFill>
      </fill>
    </dxf>
    <dxf>
      <font>
        <b/>
        <sz val="10"/>
        <color rgb="FF274E13"/>
        <name val="Microsoft YaHei"/>
      </font>
      <fill>
        <patternFill patternType="solid">
          <fgColor rgb="FFD9EAD3"/>
        </patternFill>
      </fill>
    </dxf>
    <dxf>
      <font>
        <b/>
        <sz val="10"/>
        <color rgb="FF666666"/>
        <name val="Microsoft YaHei"/>
      </font>
      <fill>
        <patternFill patternType="solid">
          <fgColor rgb="FFE7E6E6"/>
        </patternFill>
      </fill>
    </dxf>
    <dxf>
      <font>
        <b/>
        <sz val="10"/>
        <color rgb="FF5B0F00"/>
        <name val="Microsoft YaHei"/>
      </font>
      <fill>
        <patternFill patternType="solid">
          <fgColor rgb="FFEADCF8"/>
        </patternFill>
      </fill>
    </dxf>
    <dxf>
      <font>
        <b/>
        <sz val="10"/>
        <color rgb="FF9C0006"/>
        <name val="Microsoft YaHei"/>
      </font>
      <fill>
        <patternFill patternType="solid">
          <fgColor rgb="FFF4CCCC"/>
        </patternFill>
      </fill>
    </dxf>
    <dxf>
      <font>
        <b/>
        <sz val="10"/>
        <color rgb="FF274E13"/>
        <name val="Microsoft YaHei"/>
      </font>
      <fill>
        <patternFill patternType="solid">
          <fgColor rgb="FFD9EAD3"/>
        </patternFill>
      </fill>
    </dxf>
    <dxf>
      <font>
        <b/>
        <sz val="10"/>
        <color rgb="FF9C5700"/>
        <name val="Microsoft YaHei"/>
      </font>
      <fill>
        <patternFill patternType="solid">
          <fgColor rgb="FFFCE5CD"/>
        </patternFill>
      </fill>
    </dxf>
    <dxf>
      <font>
        <b/>
        <sz val="10"/>
        <color rgb="FF9C0006"/>
        <name val="Microsoft YaHei"/>
      </font>
      <fill>
        <patternFill patternType="solid">
          <fgColor rgb="FFF4CCCC"/>
        </patternFill>
      </fill>
    </dxf>
    <dxf>
      <font>
        <b/>
        <sz val="10"/>
        <color rgb="FF9C0006"/>
        <name val="Microsoft YaHei"/>
      </font>
      <fill>
        <patternFill patternType="solid">
          <fgColor rgb="FFF4CCCC"/>
        </patternFill>
      </fill>
    </dxf>
    <dxf>
      <font>
        <b/>
        <sz val="10"/>
        <color rgb="FF274E13"/>
        <name val="Microsoft YaHei"/>
      </font>
      <fill>
        <patternFill patternType="solid">
          <fgColor rgb="FFD9EAD3"/>
        </patternFill>
      </fill>
    </dxf>
    <dxf>
      <font>
        <b/>
        <sz val="10"/>
        <color rgb="FF666666"/>
        <name val="Microsoft YaHei"/>
      </font>
      <fill>
        <patternFill patternType="solid">
          <fgColor rgb="FFE7E6E6"/>
        </patternFill>
      </fill>
    </dxf>
    <dxf>
      <font>
        <b/>
        <sz val="10"/>
        <color rgb="FF7F6000"/>
        <name val="Microsoft YaHei"/>
      </font>
      <fill>
        <patternFill patternType="solid">
          <fgColor rgb="FFFFF2CC"/>
        </patternFill>
      </fill>
    </dxf>
    <dxf>
      <font>
        <b/>
        <sz val="10"/>
        <color rgb="FF274E13"/>
        <name val="Microsoft YaHei"/>
      </font>
      <fill>
        <patternFill patternType="solid">
          <fgColor rgb="FFD9EAD3"/>
        </patternFill>
      </fill>
    </dxf>
    <dxf>
      <font>
        <b/>
        <sz val="10"/>
        <color rgb="FF375623"/>
        <name val="Microsoft YaHei"/>
      </font>
      <fill>
        <patternFill patternType="solid">
          <fgColor rgb="FFE2F0D9"/>
        </patternFill>
      </fill>
    </dxf>
    <dxf>
      <font>
        <b/>
        <sz val="10"/>
        <color rgb="FF7F6000"/>
        <name val="Microsoft YaHei"/>
      </font>
      <fill>
        <patternFill patternType="solid">
          <fgColor rgb="FFFFF2CC"/>
        </patternFill>
      </fill>
    </dxf>
    <dxf>
      <font>
        <b/>
        <sz val="10"/>
        <color rgb="FF9C5700"/>
        <name val="Microsoft YaHei"/>
      </font>
      <fill>
        <patternFill patternType="solid">
          <fgColor rgb="FFFCE5CD"/>
        </patternFill>
      </fill>
    </dxf>
    <dxf>
      <font>
        <b/>
        <sz val="10"/>
        <color rgb="FF9C0006"/>
        <name val="Microsoft YaHei"/>
      </font>
      <fill>
        <patternFill patternType="solid">
          <fgColor rgb="FFF4CCCC"/>
        </patternFill>
      </fill>
    </dxf>
    <dxf>
      <font>
        <b/>
        <sz val="10"/>
        <color rgb="FFFFFFFF"/>
        <name val="Microsoft YaHei"/>
      </font>
      <fill>
        <patternFill patternType="solid">
          <fgColor rgb="FF990000"/>
        </patternFill>
      </fill>
    </dxf>
    <dxf>
      <font>
        <b/>
        <sz val="10"/>
        <color rgb="FF9C0006"/>
        <name val="Microsoft YaHei"/>
      </font>
      <fill>
        <patternFill patternType="solid">
          <fgColor rgb="FFF4CCCC"/>
        </patternFill>
      </fill>
    </dxf>
    <dxf>
      <font>
        <b/>
        <sz val="10"/>
        <color rgb="FF274E13"/>
        <name val="Microsoft YaHei"/>
      </font>
      <fill>
        <patternFill patternType="solid">
          <fgColor rgb="FFD9EAD3"/>
        </patternFill>
      </fill>
    </dxf>
    <dxf>
      <font>
        <b/>
        <sz val="10"/>
        <color rgb="FF666666"/>
        <name val="Microsoft YaHei"/>
      </font>
      <fill>
        <patternFill patternType="solid">
          <fgColor rgb="FFE7E6E6"/>
        </patternFill>
      </fill>
    </dxf>
    <dxf>
      <font>
        <b/>
        <sz val="10"/>
        <color rgb="FF5B0F00"/>
        <name val="Microsoft YaHei"/>
      </font>
      <fill>
        <patternFill patternType="solid">
          <fgColor rgb="FFEADCF8"/>
        </patternFill>
      </fill>
    </dxf>
    <dxf>
      <font>
        <b/>
        <sz val="10"/>
        <color rgb="FF9C0006"/>
        <name val="Microsoft YaHei"/>
      </font>
      <fill>
        <patternFill patternType="solid">
          <fgColor rgb="FFF4CCCC"/>
        </patternFill>
      </fill>
    </dxf>
    <dxf>
      <font>
        <b/>
        <sz val="10"/>
        <color rgb="FF274E13"/>
        <name val="Microsoft YaHei"/>
      </font>
      <fill>
        <patternFill patternType="solid">
          <fgColor rgb="FFD9EAD3"/>
        </patternFill>
      </fill>
    </dxf>
    <dxf>
      <font>
        <b/>
        <sz val="10"/>
        <color rgb="FF9C5700"/>
        <name val="Microsoft YaHei"/>
      </font>
      <fill>
        <patternFill patternType="solid">
          <fgColor rgb="FFFCE5CD"/>
        </patternFill>
      </fill>
    </dxf>
    <dxf>
      <font>
        <b/>
        <sz val="10"/>
        <color rgb="FF9C0006"/>
        <name val="Microsoft YaHei"/>
      </font>
      <fill>
        <patternFill patternType="solid">
          <fgColor rgb="FFF4CCCC"/>
        </patternFill>
      </fill>
    </dxf>
    <dxf>
      <font>
        <b/>
        <sz val="10"/>
        <color rgb="FF9C0006"/>
        <name val="Microsoft YaHei"/>
      </font>
      <fill>
        <patternFill patternType="solid">
          <fgColor rgb="FFF4CCCC"/>
        </patternFill>
      </fill>
    </dxf>
    <dxf>
      <font>
        <b/>
        <sz val="10"/>
        <color rgb="FF274E13"/>
        <name val="Microsoft YaHei"/>
      </font>
      <fill>
        <patternFill patternType="solid">
          <fgColor rgb="FFD9EAD3"/>
        </patternFill>
      </fill>
    </dxf>
    <dxf>
      <font>
        <b/>
        <sz val="10"/>
        <color rgb="FF666666"/>
        <name val="Microsoft YaHei"/>
      </font>
      <fill>
        <patternFill patternType="solid">
          <fgColor rgb="FFE7E6E6"/>
        </patternFill>
      </fill>
    </dxf>
    <dxf>
      <font>
        <b/>
        <sz val="10"/>
        <color rgb="FF7F6000"/>
        <name val="Microsoft YaHei"/>
      </font>
      <fill>
        <patternFill patternType="solid">
          <fgColor rgb="FFFFF2CC"/>
        </patternFill>
      </fill>
    </dxf>
    <dxf>
      <font>
        <b/>
        <sz val="10"/>
        <color rgb="FF274E13"/>
        <name val="Microsoft YaHei"/>
      </font>
      <fill>
        <patternFill patternType="solid">
          <fgColor rgb="FFD9EAD3"/>
        </patternFill>
      </fill>
    </dxf>
    <dxf>
      <font>
        <b/>
        <sz val="10"/>
        <color rgb="FF375623"/>
        <name val="Microsoft YaHei"/>
      </font>
      <fill>
        <patternFill patternType="solid">
          <fgColor rgb="FFE2F0D9"/>
        </patternFill>
      </fill>
    </dxf>
    <dxf>
      <font>
        <b/>
        <sz val="10"/>
        <color rgb="FF7F6000"/>
        <name val="Microsoft YaHei"/>
      </font>
      <fill>
        <patternFill patternType="solid">
          <fgColor rgb="FFFFF2CC"/>
        </patternFill>
      </fill>
    </dxf>
    <dxf>
      <font>
        <b/>
        <sz val="10"/>
        <color rgb="FF9C5700"/>
        <name val="Microsoft YaHei"/>
      </font>
      <fill>
        <patternFill patternType="solid">
          <fgColor rgb="FFFCE5CD"/>
        </patternFill>
      </fill>
    </dxf>
    <dxf>
      <font>
        <b/>
        <sz val="10"/>
        <color rgb="FF9C0006"/>
        <name val="Microsoft YaHei"/>
      </font>
      <fill>
        <patternFill patternType="solid">
          <fgColor rgb="FFF4CCCC"/>
        </patternFill>
      </fill>
    </dxf>
    <dxf>
      <font>
        <b/>
        <sz val="10"/>
        <color rgb="FFFFFFFF"/>
        <name val="Microsoft YaHei"/>
      </font>
      <fill>
        <patternFill patternType="solid">
          <fgColor rgb="FF990000"/>
        </patternFill>
      </fill>
    </dxf>
    <dxf>
      <font>
        <b/>
        <sz val="10"/>
        <color rgb="FF9C0006"/>
        <name val="Microsoft YaHei"/>
      </font>
      <fill>
        <patternFill patternType="solid">
          <fgColor rgb="FFF4CCCC"/>
        </patternFill>
      </fill>
    </dxf>
    <dxf>
      <font>
        <b/>
        <sz val="10"/>
        <color rgb="FF274E13"/>
        <name val="Microsoft YaHei"/>
      </font>
      <fill>
        <patternFill patternType="solid">
          <fgColor rgb="FFD9EAD3"/>
        </patternFill>
      </fill>
    </dxf>
    <dxf>
      <font>
        <b/>
        <sz val="10"/>
        <color rgb="FF666666"/>
        <name val="Microsoft YaHei"/>
      </font>
      <fill>
        <patternFill patternType="solid">
          <fgColor rgb="FFE7E6E6"/>
        </patternFill>
      </fill>
    </dxf>
    <dxf>
      <font>
        <b/>
        <sz val="10"/>
        <color rgb="FF5B0F00"/>
        <name val="Microsoft YaHei"/>
      </font>
      <fill>
        <patternFill patternType="solid">
          <fgColor rgb="FFEADCF8"/>
        </patternFill>
      </fill>
    </dxf>
    <dxf>
      <font>
        <b/>
        <sz val="10"/>
        <color rgb="FF9C0006"/>
        <name val="Microsoft YaHei"/>
      </font>
      <fill>
        <patternFill patternType="solid">
          <fgColor rgb="FFF4CCCC"/>
        </patternFill>
      </fill>
    </dxf>
    <dxf>
      <font>
        <b/>
        <sz val="10"/>
        <color rgb="FF274E13"/>
        <name val="Microsoft YaHei"/>
      </font>
      <fill>
        <patternFill patternType="solid">
          <fgColor rgb="FFD9EAD3"/>
        </patternFill>
      </fill>
    </dxf>
    <dxf>
      <font>
        <b/>
        <sz val="10"/>
        <color rgb="FF9C5700"/>
        <name val="Microsoft YaHei"/>
      </font>
      <fill>
        <patternFill patternType="solid">
          <fgColor rgb="FFFCE5CD"/>
        </patternFill>
      </fill>
    </dxf>
    <dxf>
      <font>
        <b/>
        <sz val="10"/>
        <color rgb="FF9C0006"/>
        <name val="Microsoft YaHei"/>
      </font>
      <fill>
        <patternFill patternType="solid">
          <fgColor rgb="FFF4CCCC"/>
        </patternFill>
      </fill>
    </dxf>
    <dxf>
      <font>
        <b/>
        <sz val="10"/>
        <color rgb="FF9C0006"/>
        <name val="Microsoft YaHei"/>
      </font>
      <fill>
        <patternFill patternType="solid">
          <fgColor rgb="FFF4CCCC"/>
        </patternFill>
      </fill>
    </dxf>
    <dxf>
      <font>
        <b/>
        <sz val="10"/>
        <color rgb="FF274E13"/>
        <name val="Microsoft YaHei"/>
      </font>
      <fill>
        <patternFill patternType="solid">
          <fgColor rgb="FFD9EAD3"/>
        </patternFill>
      </fill>
    </dxf>
    <dxf>
      <font>
        <b/>
        <sz val="10"/>
        <color rgb="FF666666"/>
        <name val="Microsoft YaHei"/>
      </font>
      <fill>
        <patternFill patternType="solid">
          <fgColor rgb="FFE7E6E6"/>
        </patternFill>
      </fill>
    </dxf>
    <dxf>
      <font>
        <b/>
        <sz val="10"/>
        <color rgb="FF7F6000"/>
        <name val="Microsoft YaHei"/>
      </font>
      <fill>
        <patternFill patternType="solid">
          <fgColor rgb="FFFFF2CC"/>
        </patternFill>
      </fill>
    </dxf>
    <dxf>
      <font>
        <b/>
        <sz val="10"/>
        <color rgb="FF274E13"/>
        <name val="Microsoft YaHei"/>
      </font>
      <fill>
        <patternFill patternType="solid">
          <fgColor rgb="FFD9EAD3"/>
        </patternFill>
      </fill>
    </dxf>
    <dxf>
      <font>
        <b/>
        <sz val="10"/>
        <color rgb="FF375623"/>
        <name val="Microsoft YaHei"/>
      </font>
      <fill>
        <patternFill patternType="solid">
          <fgColor rgb="FFE2F0D9"/>
        </patternFill>
      </fill>
    </dxf>
    <dxf>
      <font>
        <b/>
        <sz val="10"/>
        <color rgb="FF7F6000"/>
        <name val="Microsoft YaHei"/>
      </font>
      <fill>
        <patternFill patternType="solid">
          <fgColor rgb="FFFFF2CC"/>
        </patternFill>
      </fill>
    </dxf>
    <dxf>
      <font>
        <b/>
        <sz val="10"/>
        <color rgb="FF9C5700"/>
        <name val="Microsoft YaHei"/>
      </font>
      <fill>
        <patternFill patternType="solid">
          <fgColor rgb="FFFCE5CD"/>
        </patternFill>
      </fill>
    </dxf>
    <dxf>
      <font>
        <b/>
        <sz val="10"/>
        <color rgb="FF9C0006"/>
        <name val="Microsoft YaHei"/>
      </font>
      <fill>
        <patternFill patternType="solid">
          <fgColor rgb="FFF4CCCC"/>
        </patternFill>
      </fill>
    </dxf>
    <dxf>
      <font>
        <b/>
        <sz val="10"/>
        <color rgb="FFFFFFFF"/>
        <name val="Microsoft YaHei"/>
      </font>
      <fill>
        <patternFill patternType="solid">
          <fgColor rgb="FF990000"/>
        </patternFill>
      </fill>
    </dxf>
    <dxf>
      <font>
        <b/>
        <sz val="10"/>
        <color rgb="FF9C0006"/>
        <name val="Microsoft YaHei"/>
      </font>
      <fill>
        <patternFill patternType="solid">
          <fgColor rgb="FFF4CCCC"/>
        </patternFill>
      </fill>
    </dxf>
    <dxf>
      <font>
        <b/>
        <sz val="10"/>
        <color rgb="FF274E13"/>
        <name val="Microsoft YaHei"/>
      </font>
      <fill>
        <patternFill patternType="solid">
          <fgColor rgb="FFD9EAD3"/>
        </patternFill>
      </fill>
    </dxf>
    <dxf>
      <font>
        <b/>
        <sz val="10"/>
        <color rgb="FF666666"/>
        <name val="Microsoft YaHei"/>
      </font>
      <fill>
        <patternFill patternType="solid">
          <fgColor rgb="FFE7E6E6"/>
        </patternFill>
      </fill>
    </dxf>
    <dxf>
      <font>
        <b/>
        <sz val="10"/>
        <color rgb="FF5B0F00"/>
        <name val="Microsoft YaHei"/>
      </font>
      <fill>
        <patternFill patternType="solid">
          <fgColor rgb="FFEADCF8"/>
        </patternFill>
      </fill>
    </dxf>
    <dxf>
      <font>
        <b/>
        <sz val="10"/>
        <color rgb="FF9C0006"/>
        <name val="Microsoft YaHei"/>
      </font>
      <fill>
        <patternFill patternType="solid">
          <fgColor rgb="FFF4CCCC"/>
        </patternFill>
      </fill>
    </dxf>
    <dxf>
      <font>
        <b/>
        <sz val="10"/>
        <color rgb="FF274E13"/>
        <name val="Microsoft YaHei"/>
      </font>
      <fill>
        <patternFill patternType="solid">
          <fgColor rgb="FFD9EAD3"/>
        </patternFill>
      </fill>
    </dxf>
    <dxf>
      <font>
        <b/>
        <sz val="10"/>
        <color rgb="FF9C5700"/>
        <name val="Microsoft YaHei"/>
      </font>
      <fill>
        <patternFill patternType="solid">
          <fgColor rgb="FFFCE5CD"/>
        </patternFill>
      </fill>
    </dxf>
    <dxf>
      <font>
        <b/>
        <sz val="10"/>
        <color rgb="FF9C0006"/>
        <name val="Microsoft YaHei"/>
      </font>
      <fill>
        <patternFill patternType="solid">
          <f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portManualSummaryTable" displayName="ReportManualSummaryTable" ref="A9:I18">
  <autoFilter ref="A9:I18" xr:uid="{00000000-0009-0000-0100-000001000000}"/>
  <tableColumns count="9">
    <tableColumn id="1" xr3:uid="{00000000-0010-0000-0000-000001000000}" name="模块"/>
    <tableColumn id="2" xr3:uid="{00000000-0010-0000-0000-000002000000}" name="用例数"/>
    <tableColumn id="3" xr3:uid="{00000000-0010-0000-0000-000003000000}" name="P0"/>
    <tableColumn id="4" xr3:uid="{00000000-0010-0000-0000-000004000000}" name="未执行"/>
    <tableColumn id="5" xr3:uid="{00000000-0010-0000-0000-000005000000}" name="是否通过-是"/>
    <tableColumn id="6" xr3:uid="{00000000-0010-0000-0000-000006000000}" name="是否通过-否"/>
    <tableColumn id="7" xr3:uid="{00000000-0010-0000-0000-000007000000}" name="严重缺陷"/>
    <tableColumn id="8" xr3:uid="{00000000-0010-0000-0000-000008000000}" name="已完成修复"/>
    <tableColumn id="9" xr3:uid="{00000000-0010-0000-0000-000009000000}" name="回归通过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portManualCases01" displayName="ReportManualCases01" ref="A3:P7">
  <autoFilter ref="A3:P7" xr:uid="{00000000-0009-0000-0100-000002000000}"/>
  <tableColumns count="16">
    <tableColumn id="1" xr3:uid="{00000000-0010-0000-0100-000001000000}" name="用例编号"/>
    <tableColumn id="2" xr3:uid="{00000000-0010-0000-0100-000002000000}" name="功能模块"/>
    <tableColumn id="3" xr3:uid="{00000000-0010-0000-0100-000003000000}" name="用例标题"/>
    <tableColumn id="4" xr3:uid="{00000000-0010-0000-0100-000004000000}" name="优先级"/>
    <tableColumn id="5" xr3:uid="{00000000-0010-0000-0100-000005000000}" name="用例类型"/>
    <tableColumn id="6" xr3:uid="{00000000-0010-0000-0100-000006000000}" name="前置条件"/>
    <tableColumn id="7" xr3:uid="{00000000-0010-0000-0100-000007000000}" name="测试数据"/>
    <tableColumn id="8" xr3:uid="{00000000-0010-0000-0100-000008000000}" name="操作步骤"/>
    <tableColumn id="9" xr3:uid="{00000000-0010-0000-0100-000009000000}" name="预期结果"/>
    <tableColumn id="10" xr3:uid="{00000000-0010-0000-0100-00000A000000}" name="执行状态"/>
    <tableColumn id="11" xr3:uid="{00000000-0010-0000-0100-00000B000000}" name="是否通过"/>
    <tableColumn id="12" xr3:uid="{00000000-0010-0000-0100-00000C000000}" name="缺陷等级"/>
    <tableColumn id="13" xr3:uid="{00000000-0010-0000-0100-00000D000000}" name="实际结果"/>
    <tableColumn id="14" xr3:uid="{00000000-0010-0000-0100-00000E000000}" name="备注"/>
    <tableColumn id="15" xr3:uid="{00000000-0010-0000-0100-00000F000000}" name="修复情况"/>
    <tableColumn id="16" xr3:uid="{00000000-0010-0000-0100-000010000000}" name="回归情况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portManualCases02" displayName="ReportManualCases02" ref="A3:P9">
  <autoFilter ref="A3:P9" xr:uid="{00000000-0009-0000-0100-000003000000}"/>
  <tableColumns count="16">
    <tableColumn id="1" xr3:uid="{00000000-0010-0000-0200-000001000000}" name="用例编号"/>
    <tableColumn id="2" xr3:uid="{00000000-0010-0000-0200-000002000000}" name="功能模块"/>
    <tableColumn id="3" xr3:uid="{00000000-0010-0000-0200-000003000000}" name="用例标题"/>
    <tableColumn id="4" xr3:uid="{00000000-0010-0000-0200-000004000000}" name="优先级"/>
    <tableColumn id="5" xr3:uid="{00000000-0010-0000-0200-000005000000}" name="用例类型"/>
    <tableColumn id="6" xr3:uid="{00000000-0010-0000-0200-000006000000}" name="前置条件"/>
    <tableColumn id="7" xr3:uid="{00000000-0010-0000-0200-000007000000}" name="测试数据"/>
    <tableColumn id="8" xr3:uid="{00000000-0010-0000-0200-000008000000}" name="操作步骤"/>
    <tableColumn id="9" xr3:uid="{00000000-0010-0000-0200-000009000000}" name="预期结果"/>
    <tableColumn id="10" xr3:uid="{00000000-0010-0000-0200-00000A000000}" name="执行状态"/>
    <tableColumn id="11" xr3:uid="{00000000-0010-0000-0200-00000B000000}" name="是否通过"/>
    <tableColumn id="12" xr3:uid="{00000000-0010-0000-0200-00000C000000}" name="缺陷等级"/>
    <tableColumn id="13" xr3:uid="{00000000-0010-0000-0200-00000D000000}" name="实际结果"/>
    <tableColumn id="14" xr3:uid="{00000000-0010-0000-0200-00000E000000}" name="备注"/>
    <tableColumn id="15" xr3:uid="{00000000-0010-0000-0200-00000F000000}" name="修复情况"/>
    <tableColumn id="16" xr3:uid="{00000000-0010-0000-0200-000010000000}" name="回归情况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eportManualCases03" displayName="ReportManualCases03" ref="A3:P8">
  <autoFilter ref="A3:P8" xr:uid="{00000000-0009-0000-0100-000004000000}"/>
  <tableColumns count="16">
    <tableColumn id="1" xr3:uid="{00000000-0010-0000-0300-000001000000}" name="用例编号"/>
    <tableColumn id="2" xr3:uid="{00000000-0010-0000-0300-000002000000}" name="功能模块"/>
    <tableColumn id="3" xr3:uid="{00000000-0010-0000-0300-000003000000}" name="用例标题"/>
    <tableColumn id="4" xr3:uid="{00000000-0010-0000-0300-000004000000}" name="优先级"/>
    <tableColumn id="5" xr3:uid="{00000000-0010-0000-0300-000005000000}" name="用例类型"/>
    <tableColumn id="6" xr3:uid="{00000000-0010-0000-0300-000006000000}" name="前置条件"/>
    <tableColumn id="7" xr3:uid="{00000000-0010-0000-0300-000007000000}" name="测试数据"/>
    <tableColumn id="8" xr3:uid="{00000000-0010-0000-0300-000008000000}" name="操作步骤"/>
    <tableColumn id="9" xr3:uid="{00000000-0010-0000-0300-000009000000}" name="预期结果"/>
    <tableColumn id="10" xr3:uid="{00000000-0010-0000-0300-00000A000000}" name="执行状态"/>
    <tableColumn id="11" xr3:uid="{00000000-0010-0000-0300-00000B000000}" name="是否通过"/>
    <tableColumn id="12" xr3:uid="{00000000-0010-0000-0300-00000C000000}" name="缺陷等级"/>
    <tableColumn id="13" xr3:uid="{00000000-0010-0000-0300-00000D000000}" name="实际结果"/>
    <tableColumn id="14" xr3:uid="{00000000-0010-0000-0300-00000E000000}" name="备注"/>
    <tableColumn id="15" xr3:uid="{00000000-0010-0000-0300-00000F000000}" name="修复情况"/>
    <tableColumn id="16" xr3:uid="{00000000-0010-0000-0300-000010000000}" name="回归情况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eportManualCases04" displayName="ReportManualCases04" ref="A3:P7">
  <autoFilter ref="A3:P7" xr:uid="{00000000-0009-0000-0100-000005000000}"/>
  <tableColumns count="16">
    <tableColumn id="1" xr3:uid="{00000000-0010-0000-0400-000001000000}" name="用例编号"/>
    <tableColumn id="2" xr3:uid="{00000000-0010-0000-0400-000002000000}" name="功能模块"/>
    <tableColumn id="3" xr3:uid="{00000000-0010-0000-0400-000003000000}" name="用例标题"/>
    <tableColumn id="4" xr3:uid="{00000000-0010-0000-0400-000004000000}" name="优先级"/>
    <tableColumn id="5" xr3:uid="{00000000-0010-0000-0400-000005000000}" name="用例类型"/>
    <tableColumn id="6" xr3:uid="{00000000-0010-0000-0400-000006000000}" name="前置条件"/>
    <tableColumn id="7" xr3:uid="{00000000-0010-0000-0400-000007000000}" name="测试数据"/>
    <tableColumn id="8" xr3:uid="{00000000-0010-0000-0400-000008000000}" name="操作步骤"/>
    <tableColumn id="9" xr3:uid="{00000000-0010-0000-0400-000009000000}" name="预期结果"/>
    <tableColumn id="10" xr3:uid="{00000000-0010-0000-0400-00000A000000}" name="执行状态"/>
    <tableColumn id="11" xr3:uid="{00000000-0010-0000-0400-00000B000000}" name="是否通过"/>
    <tableColumn id="12" xr3:uid="{00000000-0010-0000-0400-00000C000000}" name="缺陷等级"/>
    <tableColumn id="13" xr3:uid="{00000000-0010-0000-0400-00000D000000}" name="实际结果"/>
    <tableColumn id="14" xr3:uid="{00000000-0010-0000-0400-00000E000000}" name="备注"/>
    <tableColumn id="15" xr3:uid="{00000000-0010-0000-0400-00000F000000}" name="修复情况"/>
    <tableColumn id="16" xr3:uid="{00000000-0010-0000-0400-000010000000}" name="回归情况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ReportManualCases05" displayName="ReportManualCases05" ref="A3:P8">
  <autoFilter ref="A3:P8" xr:uid="{00000000-0009-0000-0100-000006000000}"/>
  <tableColumns count="16">
    <tableColumn id="1" xr3:uid="{00000000-0010-0000-0500-000001000000}" name="用例编号"/>
    <tableColumn id="2" xr3:uid="{00000000-0010-0000-0500-000002000000}" name="功能模块"/>
    <tableColumn id="3" xr3:uid="{00000000-0010-0000-0500-000003000000}" name="用例标题"/>
    <tableColumn id="4" xr3:uid="{00000000-0010-0000-0500-000004000000}" name="优先级"/>
    <tableColumn id="5" xr3:uid="{00000000-0010-0000-0500-000005000000}" name="用例类型"/>
    <tableColumn id="6" xr3:uid="{00000000-0010-0000-0500-000006000000}" name="前置条件"/>
    <tableColumn id="7" xr3:uid="{00000000-0010-0000-0500-000007000000}" name="测试数据"/>
    <tableColumn id="8" xr3:uid="{00000000-0010-0000-0500-000008000000}" name="操作步骤"/>
    <tableColumn id="9" xr3:uid="{00000000-0010-0000-0500-000009000000}" name="预期结果"/>
    <tableColumn id="10" xr3:uid="{00000000-0010-0000-0500-00000A000000}" name="执行状态"/>
    <tableColumn id="11" xr3:uid="{00000000-0010-0000-0500-00000B000000}" name="是否通过"/>
    <tableColumn id="12" xr3:uid="{00000000-0010-0000-0500-00000C000000}" name="缺陷等级"/>
    <tableColumn id="13" xr3:uid="{00000000-0010-0000-0500-00000D000000}" name="实际结果"/>
    <tableColumn id="14" xr3:uid="{00000000-0010-0000-0500-00000E000000}" name="备注"/>
    <tableColumn id="15" xr3:uid="{00000000-0010-0000-0500-00000F000000}" name="修复情况"/>
    <tableColumn id="16" xr3:uid="{00000000-0010-0000-0500-000010000000}" name="回归情况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ReportManualCases06" displayName="ReportManualCases06" ref="A3:P7">
  <autoFilter ref="A3:P7" xr:uid="{00000000-0009-0000-0100-000007000000}"/>
  <tableColumns count="16">
    <tableColumn id="1" xr3:uid="{00000000-0010-0000-0600-000001000000}" name="用例编号"/>
    <tableColumn id="2" xr3:uid="{00000000-0010-0000-0600-000002000000}" name="功能模块"/>
    <tableColumn id="3" xr3:uid="{00000000-0010-0000-0600-000003000000}" name="用例标题"/>
    <tableColumn id="4" xr3:uid="{00000000-0010-0000-0600-000004000000}" name="优先级"/>
    <tableColumn id="5" xr3:uid="{00000000-0010-0000-0600-000005000000}" name="用例类型"/>
    <tableColumn id="6" xr3:uid="{00000000-0010-0000-0600-000006000000}" name="前置条件"/>
    <tableColumn id="7" xr3:uid="{00000000-0010-0000-0600-000007000000}" name="测试数据"/>
    <tableColumn id="8" xr3:uid="{00000000-0010-0000-0600-000008000000}" name="操作步骤"/>
    <tableColumn id="9" xr3:uid="{00000000-0010-0000-0600-000009000000}" name="预期结果"/>
    <tableColumn id="10" xr3:uid="{00000000-0010-0000-0600-00000A000000}" name="执行状态"/>
    <tableColumn id="11" xr3:uid="{00000000-0010-0000-0600-00000B000000}" name="是否通过"/>
    <tableColumn id="12" xr3:uid="{00000000-0010-0000-0600-00000C000000}" name="缺陷等级"/>
    <tableColumn id="13" xr3:uid="{00000000-0010-0000-0600-00000D000000}" name="实际结果"/>
    <tableColumn id="14" xr3:uid="{00000000-0010-0000-0600-00000E000000}" name="备注"/>
    <tableColumn id="15" xr3:uid="{00000000-0010-0000-0600-00000F000000}" name="修复情况"/>
    <tableColumn id="16" xr3:uid="{00000000-0010-0000-0600-000010000000}" name="回归情况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ReportManualCases07" displayName="ReportManualCases07" ref="A3:P8">
  <autoFilter ref="A3:P8" xr:uid="{00000000-0009-0000-0100-000008000000}"/>
  <tableColumns count="16">
    <tableColumn id="1" xr3:uid="{00000000-0010-0000-0700-000001000000}" name="用例编号"/>
    <tableColumn id="2" xr3:uid="{00000000-0010-0000-0700-000002000000}" name="功能模块"/>
    <tableColumn id="3" xr3:uid="{00000000-0010-0000-0700-000003000000}" name="用例标题"/>
    <tableColumn id="4" xr3:uid="{00000000-0010-0000-0700-000004000000}" name="优先级"/>
    <tableColumn id="5" xr3:uid="{00000000-0010-0000-0700-000005000000}" name="用例类型"/>
    <tableColumn id="6" xr3:uid="{00000000-0010-0000-0700-000006000000}" name="前置条件"/>
    <tableColumn id="7" xr3:uid="{00000000-0010-0000-0700-000007000000}" name="测试数据"/>
    <tableColumn id="8" xr3:uid="{00000000-0010-0000-0700-000008000000}" name="操作步骤"/>
    <tableColumn id="9" xr3:uid="{00000000-0010-0000-0700-000009000000}" name="预期结果"/>
    <tableColumn id="10" xr3:uid="{00000000-0010-0000-0700-00000A000000}" name="执行状态"/>
    <tableColumn id="11" xr3:uid="{00000000-0010-0000-0700-00000B000000}" name="是否通过"/>
    <tableColumn id="12" xr3:uid="{00000000-0010-0000-0700-00000C000000}" name="缺陷等级"/>
    <tableColumn id="13" xr3:uid="{00000000-0010-0000-0700-00000D000000}" name="实际结果"/>
    <tableColumn id="14" xr3:uid="{00000000-0010-0000-0700-00000E000000}" name="备注"/>
    <tableColumn id="15" xr3:uid="{00000000-0010-0000-0700-00000F000000}" name="修复情况"/>
    <tableColumn id="16" xr3:uid="{00000000-0010-0000-0700-000010000000}" name="回归情况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ReportManualCases08" displayName="ReportManualCases08" ref="A3:P6">
  <autoFilter ref="A3:P6" xr:uid="{00000000-0009-0000-0100-000009000000}"/>
  <tableColumns count="16">
    <tableColumn id="1" xr3:uid="{00000000-0010-0000-0800-000001000000}" name="用例编号"/>
    <tableColumn id="2" xr3:uid="{00000000-0010-0000-0800-000002000000}" name="功能模块"/>
    <tableColumn id="3" xr3:uid="{00000000-0010-0000-0800-000003000000}" name="用例标题"/>
    <tableColumn id="4" xr3:uid="{00000000-0010-0000-0800-000004000000}" name="优先级"/>
    <tableColumn id="5" xr3:uid="{00000000-0010-0000-0800-000005000000}" name="用例类型"/>
    <tableColumn id="6" xr3:uid="{00000000-0010-0000-0800-000006000000}" name="前置条件"/>
    <tableColumn id="7" xr3:uid="{00000000-0010-0000-0800-000007000000}" name="测试数据"/>
    <tableColumn id="8" xr3:uid="{00000000-0010-0000-0800-000008000000}" name="操作步骤"/>
    <tableColumn id="9" xr3:uid="{00000000-0010-0000-0800-000009000000}" name="预期结果"/>
    <tableColumn id="10" xr3:uid="{00000000-0010-0000-0800-00000A000000}" name="执行状态"/>
    <tableColumn id="11" xr3:uid="{00000000-0010-0000-0800-00000B000000}" name="是否通过"/>
    <tableColumn id="12" xr3:uid="{00000000-0010-0000-0800-00000C000000}" name="缺陷等级"/>
    <tableColumn id="13" xr3:uid="{00000000-0010-0000-0800-00000D000000}" name="实际结果"/>
    <tableColumn id="14" xr3:uid="{00000000-0010-0000-0800-00000E000000}" name="备注"/>
    <tableColumn id="15" xr3:uid="{00000000-0010-0000-0800-00000F000000}" name="修复情况"/>
    <tableColumn id="16" xr3:uid="{00000000-0010-0000-0800-000010000000}" name="回归情况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showGridLines="0" tabSelected="1" workbookViewId="0">
      <selection sqref="A1:I1"/>
    </sheetView>
  </sheetViews>
  <sheetFormatPr defaultRowHeight="14"/>
  <cols>
    <col min="1" max="1" width="18" customWidth="1"/>
    <col min="2" max="2" width="26" customWidth="1"/>
    <col min="3" max="3" width="24" customWidth="1"/>
    <col min="4" max="4" width="18" customWidth="1"/>
    <col min="5" max="5" width="24" customWidth="1"/>
    <col min="6" max="7" width="18" customWidth="1"/>
    <col min="8" max="8" width="22" customWidth="1"/>
    <col min="9" max="9" width="18" customWidth="1"/>
  </cols>
  <sheetData>
    <row r="1" spans="1:9" ht="38" customHeight="1">
      <c r="A1" s="13" t="s">
        <v>0</v>
      </c>
      <c r="B1" s="13"/>
      <c r="C1" s="13"/>
      <c r="D1" s="13"/>
      <c r="E1" s="13"/>
      <c r="F1" s="13"/>
      <c r="G1" s="13"/>
      <c r="H1" s="13"/>
      <c r="I1" s="13"/>
    </row>
    <row r="2" spans="1:9" ht="32" customHeight="1">
      <c r="A2" s="18" t="s">
        <v>1</v>
      </c>
      <c r="B2" s="18"/>
      <c r="C2" s="18"/>
      <c r="D2" s="18"/>
      <c r="E2" s="18"/>
      <c r="F2" s="18"/>
      <c r="G2" s="18"/>
      <c r="H2" s="18"/>
      <c r="I2" s="18"/>
    </row>
    <row r="4" spans="1:9" ht="30" customHeight="1">
      <c r="A4" s="1" t="s">
        <v>2</v>
      </c>
      <c r="B4" s="14" t="s">
        <v>3</v>
      </c>
      <c r="C4" s="14"/>
      <c r="D4" s="1" t="s">
        <v>4</v>
      </c>
      <c r="E4" s="17">
        <v>46244</v>
      </c>
      <c r="F4" s="14"/>
      <c r="G4" s="1" t="s">
        <v>5</v>
      </c>
      <c r="H4" s="14">
        <f>SUM(B10:B17)</f>
        <v>36</v>
      </c>
      <c r="I4" s="14"/>
    </row>
    <row r="5" spans="1:9" ht="36" customHeight="1">
      <c r="A5" s="1" t="s">
        <v>6</v>
      </c>
      <c r="B5" s="14" t="s">
        <v>7</v>
      </c>
      <c r="C5" s="14"/>
      <c r="D5" s="14"/>
      <c r="E5" s="14"/>
      <c r="F5" s="14"/>
      <c r="G5" s="1" t="s">
        <v>8</v>
      </c>
      <c r="H5" s="14" t="s">
        <v>9</v>
      </c>
      <c r="I5" s="14"/>
    </row>
    <row r="6" spans="1:9" ht="42" customHeight="1">
      <c r="A6" s="1" t="s">
        <v>10</v>
      </c>
      <c r="B6" s="14" t="s">
        <v>11</v>
      </c>
      <c r="C6" s="14"/>
      <c r="D6" s="14"/>
      <c r="E6" s="14"/>
      <c r="F6" s="14"/>
      <c r="G6" s="14"/>
      <c r="H6" s="14"/>
      <c r="I6" s="14"/>
    </row>
    <row r="8" spans="1:9" ht="16.5">
      <c r="A8" s="15" t="s">
        <v>12</v>
      </c>
      <c r="B8" s="15"/>
      <c r="C8" s="15"/>
      <c r="D8" s="15"/>
      <c r="E8" s="15"/>
      <c r="F8" s="15"/>
      <c r="G8" s="15"/>
      <c r="H8" s="15"/>
      <c r="I8" s="15"/>
    </row>
    <row r="9" spans="1:9" ht="32" customHeight="1">
      <c r="A9" s="2" t="s">
        <v>13</v>
      </c>
      <c r="B9" s="2" t="s">
        <v>14</v>
      </c>
      <c r="C9" s="2" t="s">
        <v>15</v>
      </c>
      <c r="D9" s="2" t="s">
        <v>9</v>
      </c>
      <c r="E9" s="2" t="s">
        <v>16</v>
      </c>
      <c r="F9" s="2" t="s">
        <v>17</v>
      </c>
      <c r="G9" s="2" t="s">
        <v>18</v>
      </c>
      <c r="H9" s="2" t="s">
        <v>19</v>
      </c>
      <c r="I9" s="2" t="s">
        <v>20</v>
      </c>
    </row>
    <row r="10" spans="1:9" ht="26" customHeight="1">
      <c r="A10" s="3" t="s">
        <v>21</v>
      </c>
      <c r="B10" s="3">
        <f>COUNTA(入口与列表!$A$4:$A$7)</f>
        <v>4</v>
      </c>
      <c r="C10" s="3">
        <f>COUNTIF(入口与列表!$D$4:$D$7,"P0")</f>
        <v>4</v>
      </c>
      <c r="D10" s="3">
        <f>COUNTIF(入口与列表!$J$4:$J$7,"未执行")</f>
        <v>0</v>
      </c>
      <c r="E10" s="3">
        <f>COUNTIF(入口与列表!$K$4:$K$7,"是")</f>
        <v>4</v>
      </c>
      <c r="F10" s="3">
        <f>COUNTIF(入口与列表!$K$4:$K$7,"否")</f>
        <v>0</v>
      </c>
      <c r="G10" s="3">
        <f>COUNTIF(入口与列表!$L$4:$L$7,"阻塞")+COUNTIF(入口与列表!$L$4:$L$7,"高")</f>
        <v>0</v>
      </c>
      <c r="H10" s="3">
        <f>COUNTIF(入口与列表!$O$4:$O$7,"已完成")</f>
        <v>0</v>
      </c>
      <c r="I10" s="3">
        <f>COUNTIF(入口与列表!$P$4:$P$7,"通过")</f>
        <v>0</v>
      </c>
    </row>
    <row r="11" spans="1:9" ht="26" customHeight="1">
      <c r="A11" s="4" t="s">
        <v>22</v>
      </c>
      <c r="B11" s="4">
        <f>COUNTA(创建与编辑!$A$4:$A$9)</f>
        <v>6</v>
      </c>
      <c r="C11" s="4">
        <f>COUNTIF(创建与编辑!$D$4:$D$9,"P0")</f>
        <v>6</v>
      </c>
      <c r="D11" s="4">
        <f>COUNTIF(创建与编辑!$J$4:$J$9,"未执行")</f>
        <v>0</v>
      </c>
      <c r="E11" s="4">
        <f>COUNTIF(创建与编辑!$K$4:$K$9,"是")</f>
        <v>5</v>
      </c>
      <c r="F11" s="4">
        <f>COUNTIF(创建与编辑!$K$4:$K$9,"否")</f>
        <v>1</v>
      </c>
      <c r="G11" s="4">
        <f>COUNTIF(创建与编辑!$L$4:$L$9,"阻塞")+COUNTIF(创建与编辑!$L$4:$L$9,"高")</f>
        <v>0</v>
      </c>
      <c r="H11" s="4">
        <f>COUNTIF(创建与编辑!$O$4:$O$9,"已完成")</f>
        <v>0</v>
      </c>
      <c r="I11" s="4">
        <f>COUNTIF(创建与编辑!$P$4:$P$9,"通过")</f>
        <v>0</v>
      </c>
    </row>
    <row r="12" spans="1:9" ht="26" customHeight="1">
      <c r="A12" s="3" t="s">
        <v>23</v>
      </c>
      <c r="B12" s="3">
        <f>COUNTA(组卷规则!$A$4:$A$8)</f>
        <v>5</v>
      </c>
      <c r="C12" s="3">
        <f>COUNTIF(组卷规则!$D$4:$D$8,"P0")</f>
        <v>5</v>
      </c>
      <c r="D12" s="3">
        <f>COUNTIF(组卷规则!$J$4:$J$8,"未执行")</f>
        <v>0</v>
      </c>
      <c r="E12" s="3">
        <f>COUNTIF(组卷规则!$K$4:$K$8,"是")</f>
        <v>0</v>
      </c>
      <c r="F12" s="3">
        <f>COUNTIF(组卷规则!$K$4:$K$8,"否")</f>
        <v>5</v>
      </c>
      <c r="G12" s="3">
        <f>COUNTIF(组卷规则!$L$4:$L$8,"阻塞")+COUNTIF(组卷规则!$L$4:$L$8,"高")</f>
        <v>5</v>
      </c>
      <c r="H12" s="3">
        <f>COUNTIF(组卷规则!$O$4:$O$8,"已完成")</f>
        <v>0</v>
      </c>
      <c r="I12" s="3">
        <f>COUNTIF(组卷规则!$P$4:$P$8,"通过")</f>
        <v>0</v>
      </c>
    </row>
    <row r="13" spans="1:9" ht="26" customHeight="1">
      <c r="A13" s="4" t="s">
        <v>24</v>
      </c>
      <c r="B13" s="4">
        <f>COUNTA(进行中与恢复!$A$4:$A$7)</f>
        <v>4</v>
      </c>
      <c r="C13" s="4">
        <f>COUNTIF(进行中与恢复!$D$4:$D$7,"P0")</f>
        <v>4</v>
      </c>
      <c r="D13" s="4">
        <f>COUNTIF(进行中与恢复!$J$4:$J$7,"未执行")</f>
        <v>0</v>
      </c>
      <c r="E13" s="4">
        <f>COUNTIF(进行中与恢复!$K$4:$K$7,"是")</f>
        <v>4</v>
      </c>
      <c r="F13" s="4">
        <f>COUNTIF(进行中与恢复!$K$4:$K$7,"否")</f>
        <v>0</v>
      </c>
      <c r="G13" s="4">
        <f>COUNTIF(进行中与恢复!$L$4:$L$7,"阻塞")+COUNTIF(进行中与恢复!$L$4:$L$7,"高")</f>
        <v>0</v>
      </c>
      <c r="H13" s="4">
        <f>COUNTIF(进行中与恢复!$O$4:$O$7,"已完成")</f>
        <v>0</v>
      </c>
      <c r="I13" s="4">
        <f>COUNTIF(进行中与恢复!$P$4:$P$7,"通过")</f>
        <v>0</v>
      </c>
    </row>
    <row r="14" spans="1:9" ht="26" customHeight="1">
      <c r="A14" s="3" t="s">
        <v>25</v>
      </c>
      <c r="B14" s="3">
        <f>COUNTA(额度与权益!$A$4:$A$8)</f>
        <v>5</v>
      </c>
      <c r="C14" s="3">
        <f>COUNTIF(额度与权益!$D$4:$D$8,"P0")</f>
        <v>5</v>
      </c>
      <c r="D14" s="3">
        <f>COUNTIF(额度与权益!$J$4:$J$8,"未执行")</f>
        <v>0</v>
      </c>
      <c r="E14" s="3">
        <f>COUNTIF(额度与权益!$K$4:$K$8,"是")</f>
        <v>4</v>
      </c>
      <c r="F14" s="3">
        <f>COUNTIF(额度与权益!$K$4:$K$8,"否")</f>
        <v>1</v>
      </c>
      <c r="G14" s="3">
        <f>COUNTIF(额度与权益!$L$4:$L$8,"阻塞")+COUNTIF(额度与权益!$L$4:$L$8,"高")</f>
        <v>0</v>
      </c>
      <c r="H14" s="3">
        <f>COUNTIF(额度与权益!$O$4:$O$8,"已完成")</f>
        <v>0</v>
      </c>
      <c r="I14" s="3">
        <f>COUNTIF(额度与权益!$P$4:$P$8,"通过")</f>
        <v>0</v>
      </c>
    </row>
    <row r="15" spans="1:9" ht="26" customHeight="1">
      <c r="A15" s="4" t="s">
        <v>26</v>
      </c>
      <c r="B15" s="4">
        <f>COUNTA(答题与交卷!$A$4:$A$7)</f>
        <v>4</v>
      </c>
      <c r="C15" s="4">
        <f>COUNTIF(答题与交卷!$D$4:$D$7,"P0")</f>
        <v>4</v>
      </c>
      <c r="D15" s="4">
        <f>COUNTIF(答题与交卷!$J$4:$J$7,"未执行")</f>
        <v>0</v>
      </c>
      <c r="E15" s="4">
        <f>COUNTIF(答题与交卷!$K$4:$K$7,"是")</f>
        <v>4</v>
      </c>
      <c r="F15" s="4">
        <f>COUNTIF(答题与交卷!$K$4:$K$7,"否")</f>
        <v>0</v>
      </c>
      <c r="G15" s="4">
        <f>COUNTIF(答题与交卷!$L$4:$L$7,"阻塞")+COUNTIF(答题与交卷!$L$4:$L$7,"高")</f>
        <v>0</v>
      </c>
      <c r="H15" s="4">
        <f>COUNTIF(答题与交卷!$O$4:$O$7,"已完成")</f>
        <v>0</v>
      </c>
      <c r="I15" s="4">
        <f>COUNTIF(答题与交卷!$P$4:$P$7,"通过")</f>
        <v>0</v>
      </c>
    </row>
    <row r="16" spans="1:9" ht="26" customHeight="1">
      <c r="A16" s="3" t="s">
        <v>27</v>
      </c>
      <c r="B16" s="3">
        <f>COUNTA(统计与历史!$A$4:$A$8)</f>
        <v>5</v>
      </c>
      <c r="C16" s="3">
        <f>COUNTIF(统计与历史!$D$4:$D$8,"P0")</f>
        <v>5</v>
      </c>
      <c r="D16" s="3">
        <f>COUNTIF(统计与历史!$J$4:$J$8,"未执行")</f>
        <v>0</v>
      </c>
      <c r="E16" s="3">
        <f>COUNTIF(统计与历史!$K$4:$K$8,"是")</f>
        <v>5</v>
      </c>
      <c r="F16" s="3">
        <f>COUNTIF(统计与历史!$K$4:$K$8,"否")</f>
        <v>0</v>
      </c>
      <c r="G16" s="3">
        <f>COUNTIF(统计与历史!$L$4:$L$8,"阻塞")+COUNTIF(统计与历史!$L$4:$L$8,"高")</f>
        <v>0</v>
      </c>
      <c r="H16" s="3">
        <f>COUNTIF(统计与历史!$O$4:$O$8,"已完成")</f>
        <v>0</v>
      </c>
      <c r="I16" s="3">
        <f>COUNTIF(统计与历史!$P$4:$P$8,"通过")</f>
        <v>0</v>
      </c>
    </row>
    <row r="17" spans="1:9" ht="26" customHeight="1">
      <c r="A17" s="4" t="s">
        <v>28</v>
      </c>
      <c r="B17" s="4">
        <f>COUNTA(异常与后台联动!$A$4:$A$6)</f>
        <v>3</v>
      </c>
      <c r="C17" s="4">
        <f>COUNTIF(异常与后台联动!$D$4:$D$6,"P0")</f>
        <v>3</v>
      </c>
      <c r="D17" s="4">
        <f>COUNTIF(异常与后台联动!$J$4:$J$6,"未执行")</f>
        <v>0</v>
      </c>
      <c r="E17" s="4">
        <f>COUNTIF(异常与后台联动!$K$4:$K$6,"是")</f>
        <v>2</v>
      </c>
      <c r="F17" s="4">
        <f>COUNTIF(异常与后台联动!$K$4:$K$6,"否")</f>
        <v>1</v>
      </c>
      <c r="G17" s="4">
        <f>COUNTIF(异常与后台联动!$L$4:$L$6,"阻塞")+COUNTIF(异常与后台联动!$L$4:$L$6,"高")</f>
        <v>1</v>
      </c>
      <c r="H17" s="4">
        <f>COUNTIF(异常与后台联动!$O$4:$O$6,"已完成")</f>
        <v>0</v>
      </c>
      <c r="I17" s="4">
        <f>COUNTIF(异常与后台联动!$P$4:$P$6,"通过")</f>
        <v>0</v>
      </c>
    </row>
    <row r="18" spans="1:9" ht="28" customHeight="1">
      <c r="A18" s="5" t="s">
        <v>29</v>
      </c>
      <c r="B18" s="5">
        <f t="shared" ref="B18:I18" si="0">SUM(B10:B17)</f>
        <v>36</v>
      </c>
      <c r="C18" s="5">
        <f t="shared" si="0"/>
        <v>36</v>
      </c>
      <c r="D18" s="5">
        <f t="shared" si="0"/>
        <v>0</v>
      </c>
      <c r="E18" s="5">
        <f t="shared" si="0"/>
        <v>28</v>
      </c>
      <c r="F18" s="5">
        <f t="shared" si="0"/>
        <v>8</v>
      </c>
      <c r="G18" s="5">
        <f t="shared" si="0"/>
        <v>6</v>
      </c>
      <c r="H18" s="5">
        <f t="shared" si="0"/>
        <v>0</v>
      </c>
      <c r="I18" s="5">
        <f t="shared" si="0"/>
        <v>0</v>
      </c>
    </row>
    <row r="20" spans="1:9" ht="16.5">
      <c r="A20" s="15" t="s">
        <v>30</v>
      </c>
      <c r="B20" s="15"/>
      <c r="C20" s="15"/>
      <c r="D20" s="15"/>
      <c r="E20" s="15"/>
      <c r="F20" s="15"/>
      <c r="G20" s="15"/>
      <c r="H20" s="15"/>
      <c r="I20" s="15"/>
    </row>
    <row r="21" spans="1:9" ht="38" customHeight="1">
      <c r="A21" s="6" t="s">
        <v>31</v>
      </c>
      <c r="B21" s="16" t="s">
        <v>32</v>
      </c>
      <c r="C21" s="16"/>
      <c r="D21" s="16"/>
      <c r="E21" s="16"/>
      <c r="F21" s="16"/>
      <c r="G21" s="16"/>
      <c r="H21" s="16"/>
      <c r="I21" s="16"/>
    </row>
    <row r="22" spans="1:9" ht="38" customHeight="1">
      <c r="A22" s="6" t="s">
        <v>33</v>
      </c>
      <c r="B22" s="16" t="s">
        <v>34</v>
      </c>
      <c r="C22" s="16"/>
      <c r="D22" s="16"/>
      <c r="E22" s="16"/>
      <c r="F22" s="16"/>
      <c r="G22" s="16"/>
      <c r="H22" s="16"/>
      <c r="I22" s="16"/>
    </row>
    <row r="23" spans="1:9" ht="38" customHeight="1">
      <c r="A23" s="6" t="s">
        <v>35</v>
      </c>
      <c r="B23" s="16" t="s">
        <v>36</v>
      </c>
      <c r="C23" s="16"/>
      <c r="D23" s="16"/>
      <c r="E23" s="16"/>
      <c r="F23" s="16"/>
      <c r="G23" s="16"/>
      <c r="H23" s="16"/>
      <c r="I23" s="16"/>
    </row>
    <row r="24" spans="1:9" ht="38" customHeight="1">
      <c r="A24" s="6" t="s">
        <v>37</v>
      </c>
      <c r="B24" s="16" t="s">
        <v>38</v>
      </c>
      <c r="C24" s="16"/>
      <c r="D24" s="16"/>
      <c r="E24" s="16"/>
      <c r="F24" s="16"/>
      <c r="G24" s="16"/>
      <c r="H24" s="16"/>
      <c r="I24" s="16"/>
    </row>
    <row r="25" spans="1:9" ht="38" customHeight="1">
      <c r="A25" s="6" t="s">
        <v>39</v>
      </c>
      <c r="B25" s="16" t="s">
        <v>40</v>
      </c>
      <c r="C25" s="16"/>
      <c r="D25" s="16"/>
      <c r="E25" s="16"/>
      <c r="F25" s="16"/>
      <c r="G25" s="16"/>
      <c r="H25" s="16"/>
      <c r="I25" s="16"/>
    </row>
  </sheetData>
  <mergeCells count="15">
    <mergeCell ref="B25:I25"/>
    <mergeCell ref="B6:I6"/>
    <mergeCell ref="A20:I20"/>
    <mergeCell ref="B24:I24"/>
    <mergeCell ref="B5:F5"/>
    <mergeCell ref="B23:I23"/>
    <mergeCell ref="A1:I1"/>
    <mergeCell ref="H5:I5"/>
    <mergeCell ref="A8:I8"/>
    <mergeCell ref="B22:I22"/>
    <mergeCell ref="H4:I4"/>
    <mergeCell ref="B4:C4"/>
    <mergeCell ref="E4:F4"/>
    <mergeCell ref="B21:I21"/>
    <mergeCell ref="A2:I2"/>
  </mergeCells>
  <phoneticPr fontId="7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7"/>
  <sheetViews>
    <sheetView showGridLines="0" workbookViewId="0">
      <pane xSplit="5" ySplit="3" topLeftCell="F4" activePane="bottomRight" state="frozen"/>
      <selection pane="topRight"/>
      <selection pane="bottomLeft"/>
      <selection pane="bottomRight"/>
    </sheetView>
  </sheetViews>
  <sheetFormatPr defaultRowHeight="14"/>
  <cols>
    <col min="1" max="1" width="16" customWidth="1"/>
    <col min="2" max="2" width="18" customWidth="1"/>
    <col min="3" max="3" width="34" customWidth="1"/>
    <col min="4" max="4" width="10" customWidth="1"/>
    <col min="5" max="5" width="12" customWidth="1"/>
    <col min="6" max="7" width="34" customWidth="1"/>
    <col min="8" max="8" width="54" customWidth="1"/>
    <col min="9" max="9" width="56" customWidth="1"/>
    <col min="10" max="12" width="12" customWidth="1"/>
    <col min="13" max="13" width="30" customWidth="1"/>
    <col min="14" max="14" width="28" customWidth="1"/>
    <col min="15" max="16" width="14" customWidth="1"/>
  </cols>
  <sheetData>
    <row r="1" spans="1:16" ht="34" customHeight="1">
      <c r="A1" s="13" t="s">
        <v>41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</row>
    <row r="2" spans="1:16" ht="26" customHeight="1">
      <c r="A2" s="19" t="s">
        <v>42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</row>
    <row r="3" spans="1:16" ht="36" customHeight="1">
      <c r="A3" s="2" t="s">
        <v>43</v>
      </c>
      <c r="B3" s="2" t="s">
        <v>44</v>
      </c>
      <c r="C3" s="2" t="s">
        <v>45</v>
      </c>
      <c r="D3" s="2" t="s">
        <v>46</v>
      </c>
      <c r="E3" s="2" t="s">
        <v>47</v>
      </c>
      <c r="F3" s="2" t="s">
        <v>48</v>
      </c>
      <c r="G3" s="2" t="s">
        <v>49</v>
      </c>
      <c r="H3" s="2" t="s">
        <v>50</v>
      </c>
      <c r="I3" s="2" t="s">
        <v>51</v>
      </c>
      <c r="J3" s="2" t="s">
        <v>52</v>
      </c>
      <c r="K3" s="2" t="s">
        <v>53</v>
      </c>
      <c r="L3" s="2" t="s">
        <v>54</v>
      </c>
      <c r="M3" s="2" t="s">
        <v>55</v>
      </c>
      <c r="N3" s="2" t="s">
        <v>56</v>
      </c>
      <c r="O3" s="2" t="s">
        <v>57</v>
      </c>
      <c r="P3" s="2" t="s">
        <v>58</v>
      </c>
    </row>
    <row r="4" spans="1:16" ht="112" customHeight="1">
      <c r="A4" s="7" t="s">
        <v>59</v>
      </c>
      <c r="B4" s="7" t="s">
        <v>21</v>
      </c>
      <c r="C4" s="8" t="s">
        <v>60</v>
      </c>
      <c r="D4" s="7" t="s">
        <v>15</v>
      </c>
      <c r="E4" s="7" t="s">
        <v>61</v>
      </c>
      <c r="F4" s="8" t="s">
        <v>62</v>
      </c>
      <c r="G4" s="8" t="s">
        <v>63</v>
      </c>
      <c r="H4" s="8" t="s">
        <v>64</v>
      </c>
      <c r="I4" s="8" t="s">
        <v>251</v>
      </c>
      <c r="J4" s="9" t="s">
        <v>251</v>
      </c>
      <c r="K4" s="9" t="s">
        <v>256</v>
      </c>
      <c r="L4" s="9"/>
      <c r="M4" s="10" t="s">
        <v>275</v>
      </c>
      <c r="N4" s="10"/>
      <c r="O4" s="9"/>
      <c r="P4" s="9"/>
    </row>
    <row r="5" spans="1:16" ht="112" customHeight="1">
      <c r="A5" s="11" t="s">
        <v>65</v>
      </c>
      <c r="B5" s="11" t="s">
        <v>21</v>
      </c>
      <c r="C5" s="12" t="s">
        <v>66</v>
      </c>
      <c r="D5" s="11" t="s">
        <v>15</v>
      </c>
      <c r="E5" s="11" t="s">
        <v>67</v>
      </c>
      <c r="F5" s="12" t="s">
        <v>68</v>
      </c>
      <c r="G5" s="12" t="s">
        <v>69</v>
      </c>
      <c r="H5" s="12" t="s">
        <v>70</v>
      </c>
      <c r="I5" s="12" t="s">
        <v>251</v>
      </c>
      <c r="J5" s="9" t="s">
        <v>251</v>
      </c>
      <c r="K5" s="9" t="s">
        <v>256</v>
      </c>
      <c r="L5" s="9"/>
      <c r="M5" s="10" t="s">
        <v>276</v>
      </c>
      <c r="N5" s="10"/>
      <c r="O5" s="9"/>
      <c r="P5" s="9"/>
    </row>
    <row r="6" spans="1:16" ht="127" customHeight="1">
      <c r="A6" s="7" t="s">
        <v>71</v>
      </c>
      <c r="B6" s="7" t="s">
        <v>21</v>
      </c>
      <c r="C6" s="8" t="s">
        <v>72</v>
      </c>
      <c r="D6" s="7" t="s">
        <v>15</v>
      </c>
      <c r="E6" s="7" t="s">
        <v>73</v>
      </c>
      <c r="F6" s="8" t="s">
        <v>74</v>
      </c>
      <c r="G6" s="8" t="s">
        <v>75</v>
      </c>
      <c r="H6" s="8" t="s">
        <v>76</v>
      </c>
      <c r="I6" s="8" t="s">
        <v>251</v>
      </c>
      <c r="J6" s="9" t="s">
        <v>251</v>
      </c>
      <c r="K6" s="9" t="s">
        <v>256</v>
      </c>
      <c r="L6" s="9"/>
      <c r="M6" s="10" t="s">
        <v>277</v>
      </c>
      <c r="N6" s="10"/>
      <c r="O6" s="9"/>
      <c r="P6" s="9"/>
    </row>
    <row r="7" spans="1:16" ht="112" customHeight="1">
      <c r="A7" s="11" t="s">
        <v>77</v>
      </c>
      <c r="B7" s="11" t="s">
        <v>21</v>
      </c>
      <c r="C7" s="12" t="s">
        <v>78</v>
      </c>
      <c r="D7" s="11" t="s">
        <v>15</v>
      </c>
      <c r="E7" s="11" t="s">
        <v>67</v>
      </c>
      <c r="F7" s="12" t="s">
        <v>79</v>
      </c>
      <c r="G7" s="12" t="s">
        <v>80</v>
      </c>
      <c r="H7" s="12" t="s">
        <v>81</v>
      </c>
      <c r="I7" s="12" t="s">
        <v>251</v>
      </c>
      <c r="J7" s="9" t="s">
        <v>251</v>
      </c>
      <c r="K7" s="9" t="s">
        <v>256</v>
      </c>
      <c r="L7" s="9"/>
      <c r="M7" s="10" t="s">
        <v>278</v>
      </c>
      <c r="N7" s="10"/>
      <c r="O7" s="9"/>
      <c r="P7" s="9"/>
    </row>
  </sheetData>
  <mergeCells count="2">
    <mergeCell ref="A1:P1"/>
    <mergeCell ref="A2:P2"/>
  </mergeCells>
  <phoneticPr fontId="7" type="noConversion"/>
  <conditionalFormatting sqref="D4:D7">
    <cfRule type="expression" dxfId="143" priority="1">
      <formula>$D4="P0"</formula>
    </cfRule>
    <cfRule type="expression" dxfId="142" priority="2">
      <formula>$D4="P1"</formula>
    </cfRule>
  </conditionalFormatting>
  <conditionalFormatting sqref="J4:J7">
    <cfRule type="expression" dxfId="141" priority="3">
      <formula>$J4="通过"</formula>
    </cfRule>
    <cfRule type="expression" dxfId="140" priority="4">
      <formula>$J4="失败"</formula>
    </cfRule>
    <cfRule type="expression" dxfId="139" priority="5">
      <formula>$J4="阻塞"</formula>
    </cfRule>
    <cfRule type="expression" dxfId="138" priority="6">
      <formula>$J4="不适用"</formula>
    </cfRule>
  </conditionalFormatting>
  <conditionalFormatting sqref="K4:K7">
    <cfRule type="expression" dxfId="137" priority="7">
      <formula>$K4="是"</formula>
    </cfRule>
    <cfRule type="expression" dxfId="136" priority="8">
      <formula>$K4="否"</formula>
    </cfRule>
  </conditionalFormatting>
  <conditionalFormatting sqref="L4:L7">
    <cfRule type="expression" dxfId="135" priority="9">
      <formula>$L4="阻塞"</formula>
    </cfRule>
    <cfRule type="expression" dxfId="134" priority="10">
      <formula>$L4="高"</formula>
    </cfRule>
    <cfRule type="expression" dxfId="133" priority="11">
      <formula>$L4="中"</formula>
    </cfRule>
    <cfRule type="expression" dxfId="132" priority="12">
      <formula>$L4="低"</formula>
    </cfRule>
    <cfRule type="expression" dxfId="131" priority="13">
      <formula>$L4="轻微"</formula>
    </cfRule>
  </conditionalFormatting>
  <conditionalFormatting sqref="O4:O7">
    <cfRule type="expression" dxfId="130" priority="14">
      <formula>$O4="已完成"</formula>
    </cfRule>
    <cfRule type="expression" dxfId="129" priority="15">
      <formula>$O4="待讨论"</formula>
    </cfRule>
    <cfRule type="expression" dxfId="128" priority="16">
      <formula>$O4="暂不修复"</formula>
    </cfRule>
  </conditionalFormatting>
  <conditionalFormatting sqref="P4:P7">
    <cfRule type="expression" dxfId="127" priority="17">
      <formula>$P4="通过"</formula>
    </cfRule>
    <cfRule type="expression" dxfId="126" priority="18">
      <formula>$P4="不通过"</formula>
    </cfRule>
  </conditionalFormatting>
  <dataValidations count="7">
    <dataValidation type="list" allowBlank="1" errorTitle="输入无效" error="请选择下拉列表中的值" promptTitle="可选值" prompt="请从列表中选择" sqref="D4:D7" xr:uid="{00000000-0002-0000-0100-000000000000}">
      <formula1>"P0,P1,P2,P3"</formula1>
    </dataValidation>
    <dataValidation type="list" allowBlank="1" errorTitle="输入无效" error="请选择下拉列表中的值" promptTitle="可选值" prompt="请从列表中选择" sqref="E4:E7" xr:uid="{00000000-0002-0000-0100-000001000000}">
      <formula1>"功能,流程,校验,权限,安全,异常"</formula1>
    </dataValidation>
    <dataValidation type="list" allowBlank="1" errorTitle="输入无效" error="请选择下拉列表中的值" promptTitle="可选值" prompt="请从列表中选择" sqref="J4:J7" xr:uid="{00000000-0002-0000-0100-000002000000}">
      <formula1>"未执行,通过,失败,阻塞,不适用"</formula1>
    </dataValidation>
    <dataValidation type="list" allowBlank="1" errorTitle="输入无效" error="请选择下拉列表中的值" promptTitle="可选值" prompt="请从列表中选择" sqref="K4:K7" xr:uid="{00000000-0002-0000-0100-000003000000}">
      <formula1>"是,否"</formula1>
    </dataValidation>
    <dataValidation type="list" allowBlank="1" errorTitle="输入无效" error="请选择下拉列表中的值" promptTitle="可选值" prompt="请从列表中选择" sqref="L4:L7" xr:uid="{00000000-0002-0000-0100-000004000000}">
      <formula1>"阻塞,高,中,低,轻微"</formula1>
    </dataValidation>
    <dataValidation type="list" allowBlank="1" errorTitle="输入无效" error="请选择下拉列表中的值" promptTitle="可选值" prompt="请从列表中选择" sqref="O4:O7" xr:uid="{00000000-0002-0000-0100-000005000000}">
      <formula1>"已完成,待讨论,暂不修复"</formula1>
    </dataValidation>
    <dataValidation type="list" allowBlank="1" errorTitle="输入无效" error="请选择下拉列表中的值" promptTitle="可选值" prompt="请从列表中选择" sqref="P4:P7" xr:uid="{00000000-0002-0000-0100-000006000000}">
      <formula1>"通过,不通过"</formula1>
    </dataValidation>
  </dataValidations>
  <pageMargins left="0.75" right="0.75" top="1" bottom="1" header="0.5" footer="0.5"/>
  <pageSetup fitToHeight="0"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P9"/>
  <sheetViews>
    <sheetView showGridLines="0" workbookViewId="0">
      <pane xSplit="5" ySplit="3" topLeftCell="F4" activePane="bottomRight" state="frozen"/>
      <selection pane="topRight"/>
      <selection pane="bottomLeft"/>
      <selection pane="bottomRight"/>
    </sheetView>
  </sheetViews>
  <sheetFormatPr defaultRowHeight="14"/>
  <cols>
    <col min="1" max="1" width="16" customWidth="1"/>
    <col min="2" max="2" width="18" customWidth="1"/>
    <col min="3" max="3" width="34" customWidth="1"/>
    <col min="4" max="4" width="10" customWidth="1"/>
    <col min="5" max="5" width="12" customWidth="1"/>
    <col min="6" max="7" width="34" customWidth="1"/>
    <col min="8" max="8" width="54" customWidth="1"/>
    <col min="9" max="9" width="56" customWidth="1"/>
    <col min="10" max="12" width="12" customWidth="1"/>
    <col min="13" max="13" width="30" customWidth="1"/>
    <col min="14" max="14" width="28" customWidth="1"/>
    <col min="15" max="16" width="14" customWidth="1"/>
  </cols>
  <sheetData>
    <row r="1" spans="1:16" ht="34" customHeight="1">
      <c r="A1" s="13" t="s">
        <v>82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</row>
    <row r="2" spans="1:16" ht="26" customHeight="1">
      <c r="A2" s="19" t="s">
        <v>42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</row>
    <row r="3" spans="1:16" ht="36" customHeight="1">
      <c r="A3" s="2" t="s">
        <v>43</v>
      </c>
      <c r="B3" s="2" t="s">
        <v>44</v>
      </c>
      <c r="C3" s="2" t="s">
        <v>45</v>
      </c>
      <c r="D3" s="2" t="s">
        <v>46</v>
      </c>
      <c r="E3" s="2" t="s">
        <v>47</v>
      </c>
      <c r="F3" s="2" t="s">
        <v>48</v>
      </c>
      <c r="G3" s="2" t="s">
        <v>49</v>
      </c>
      <c r="H3" s="2" t="s">
        <v>50</v>
      </c>
      <c r="I3" s="2" t="s">
        <v>51</v>
      </c>
      <c r="J3" s="2" t="s">
        <v>52</v>
      </c>
      <c r="K3" s="2" t="s">
        <v>53</v>
      </c>
      <c r="L3" s="2" t="s">
        <v>54</v>
      </c>
      <c r="M3" s="2" t="s">
        <v>55</v>
      </c>
      <c r="N3" s="2" t="s">
        <v>56</v>
      </c>
      <c r="O3" s="2" t="s">
        <v>57</v>
      </c>
      <c r="P3" s="2" t="s">
        <v>58</v>
      </c>
    </row>
    <row r="4" spans="1:16" ht="127" customHeight="1">
      <c r="A4" s="7" t="s">
        <v>83</v>
      </c>
      <c r="B4" s="7" t="s">
        <v>22</v>
      </c>
      <c r="C4" s="8" t="s">
        <v>84</v>
      </c>
      <c r="D4" s="7" t="s">
        <v>15</v>
      </c>
      <c r="E4" s="7" t="s">
        <v>67</v>
      </c>
      <c r="F4" s="8" t="s">
        <v>85</v>
      </c>
      <c r="G4" s="8" t="s">
        <v>86</v>
      </c>
      <c r="H4" s="8" t="s">
        <v>87</v>
      </c>
      <c r="I4" s="8" t="s">
        <v>251</v>
      </c>
      <c r="J4" s="9" t="s">
        <v>251</v>
      </c>
      <c r="K4" s="9" t="s">
        <v>256</v>
      </c>
      <c r="L4" s="9"/>
      <c r="M4" s="10" t="s">
        <v>269</v>
      </c>
      <c r="N4" s="10"/>
      <c r="O4" s="9"/>
      <c r="P4" s="9"/>
    </row>
    <row r="5" spans="1:16" ht="127" customHeight="1">
      <c r="A5" s="11" t="s">
        <v>88</v>
      </c>
      <c r="B5" s="11" t="s">
        <v>22</v>
      </c>
      <c r="C5" s="12" t="s">
        <v>89</v>
      </c>
      <c r="D5" s="11" t="s">
        <v>15</v>
      </c>
      <c r="E5" s="11" t="s">
        <v>90</v>
      </c>
      <c r="F5" s="12" t="s">
        <v>91</v>
      </c>
      <c r="G5" s="12" t="s">
        <v>92</v>
      </c>
      <c r="H5" s="12" t="s">
        <v>93</v>
      </c>
      <c r="I5" s="12" t="s">
        <v>253</v>
      </c>
      <c r="J5" s="9" t="s">
        <v>251</v>
      </c>
      <c r="K5" s="9" t="s">
        <v>255</v>
      </c>
      <c r="L5" s="9"/>
      <c r="M5" s="10" t="s">
        <v>270</v>
      </c>
      <c r="N5" s="10"/>
      <c r="O5" s="9"/>
      <c r="P5" s="9"/>
    </row>
    <row r="6" spans="1:16" ht="112" customHeight="1">
      <c r="A6" s="7" t="s">
        <v>94</v>
      </c>
      <c r="B6" s="7" t="s">
        <v>22</v>
      </c>
      <c r="C6" s="8" t="s">
        <v>95</v>
      </c>
      <c r="D6" s="7" t="s">
        <v>15</v>
      </c>
      <c r="E6" s="7" t="s">
        <v>90</v>
      </c>
      <c r="F6" s="8" t="s">
        <v>96</v>
      </c>
      <c r="G6" s="8" t="s">
        <v>97</v>
      </c>
      <c r="H6" s="8" t="s">
        <v>98</v>
      </c>
      <c r="I6" s="8" t="s">
        <v>253</v>
      </c>
      <c r="J6" s="9" t="s">
        <v>251</v>
      </c>
      <c r="K6" s="9" t="s">
        <v>255</v>
      </c>
      <c r="L6" s="9"/>
      <c r="M6" s="10" t="s">
        <v>271</v>
      </c>
      <c r="N6" s="10"/>
      <c r="O6" s="9"/>
      <c r="P6" s="9"/>
    </row>
    <row r="7" spans="1:16" ht="112" customHeight="1">
      <c r="A7" s="11" t="s">
        <v>99</v>
      </c>
      <c r="B7" s="11" t="s">
        <v>22</v>
      </c>
      <c r="C7" s="12" t="s">
        <v>100</v>
      </c>
      <c r="D7" s="11" t="s">
        <v>15</v>
      </c>
      <c r="E7" s="11" t="s">
        <v>73</v>
      </c>
      <c r="F7" s="12" t="s">
        <v>101</v>
      </c>
      <c r="G7" s="12" t="s">
        <v>102</v>
      </c>
      <c r="H7" s="12" t="s">
        <v>103</v>
      </c>
      <c r="I7" s="12" t="s">
        <v>251</v>
      </c>
      <c r="J7" s="9" t="s">
        <v>251</v>
      </c>
      <c r="K7" s="9" t="s">
        <v>256</v>
      </c>
      <c r="L7" s="9"/>
      <c r="M7" s="10" t="s">
        <v>272</v>
      </c>
      <c r="N7" s="10"/>
      <c r="O7" s="9"/>
      <c r="P7" s="9"/>
    </row>
    <row r="8" spans="1:16" ht="127" customHeight="1">
      <c r="A8" s="7" t="s">
        <v>104</v>
      </c>
      <c r="B8" s="7" t="s">
        <v>22</v>
      </c>
      <c r="C8" s="8" t="s">
        <v>105</v>
      </c>
      <c r="D8" s="7" t="s">
        <v>15</v>
      </c>
      <c r="E8" s="7" t="s">
        <v>67</v>
      </c>
      <c r="F8" s="8" t="s">
        <v>106</v>
      </c>
      <c r="G8" s="8" t="s">
        <v>107</v>
      </c>
      <c r="H8" s="8" t="s">
        <v>108</v>
      </c>
      <c r="I8" s="8" t="s">
        <v>253</v>
      </c>
      <c r="J8" s="9" t="s">
        <v>251</v>
      </c>
      <c r="K8" s="9" t="s">
        <v>255</v>
      </c>
      <c r="L8" s="9"/>
      <c r="M8" s="10" t="s">
        <v>290</v>
      </c>
      <c r="N8" s="10"/>
      <c r="O8" s="9"/>
      <c r="P8" s="9"/>
    </row>
    <row r="9" spans="1:16" ht="127" customHeight="1">
      <c r="A9" s="11" t="s">
        <v>109</v>
      </c>
      <c r="B9" s="11" t="s">
        <v>22</v>
      </c>
      <c r="C9" s="12" t="s">
        <v>110</v>
      </c>
      <c r="D9" s="11" t="s">
        <v>15</v>
      </c>
      <c r="E9" s="11" t="s">
        <v>67</v>
      </c>
      <c r="F9" s="12" t="s">
        <v>111</v>
      </c>
      <c r="G9" s="12" t="s">
        <v>112</v>
      </c>
      <c r="H9" s="12" t="s">
        <v>113</v>
      </c>
      <c r="I9" s="12" t="s">
        <v>253</v>
      </c>
      <c r="J9" s="9" t="s">
        <v>251</v>
      </c>
      <c r="K9" s="9" t="s">
        <v>291</v>
      </c>
      <c r="L9" s="9" t="s">
        <v>292</v>
      </c>
      <c r="M9" s="10" t="s">
        <v>293</v>
      </c>
      <c r="N9" s="10" t="s">
        <v>294</v>
      </c>
      <c r="O9" s="9"/>
      <c r="P9" s="9"/>
    </row>
  </sheetData>
  <mergeCells count="2">
    <mergeCell ref="A1:P1"/>
    <mergeCell ref="A2:P2"/>
  </mergeCells>
  <phoneticPr fontId="7" type="noConversion"/>
  <conditionalFormatting sqref="D4:D9">
    <cfRule type="expression" dxfId="125" priority="1">
      <formula>$D4="P0"</formula>
    </cfRule>
    <cfRule type="expression" dxfId="124" priority="2">
      <formula>$D4="P1"</formula>
    </cfRule>
  </conditionalFormatting>
  <conditionalFormatting sqref="J4:J9">
    <cfRule type="expression" dxfId="123" priority="3">
      <formula>$J4="通过"</formula>
    </cfRule>
    <cfRule type="expression" dxfId="122" priority="4">
      <formula>$J4="失败"</formula>
    </cfRule>
    <cfRule type="expression" dxfId="121" priority="5">
      <formula>$J4="阻塞"</formula>
    </cfRule>
    <cfRule type="expression" dxfId="120" priority="6">
      <formula>$J4="不适用"</formula>
    </cfRule>
  </conditionalFormatting>
  <conditionalFormatting sqref="K4:K9">
    <cfRule type="expression" dxfId="119" priority="7">
      <formula>$K4="是"</formula>
    </cfRule>
    <cfRule type="expression" dxfId="118" priority="8">
      <formula>$K4="否"</formula>
    </cfRule>
  </conditionalFormatting>
  <conditionalFormatting sqref="L4:L9">
    <cfRule type="expression" dxfId="117" priority="9">
      <formula>$L4="阻塞"</formula>
    </cfRule>
    <cfRule type="expression" dxfId="116" priority="10">
      <formula>$L4="高"</formula>
    </cfRule>
    <cfRule type="expression" dxfId="115" priority="11">
      <formula>$L4="中"</formula>
    </cfRule>
    <cfRule type="expression" dxfId="114" priority="12">
      <formula>$L4="低"</formula>
    </cfRule>
    <cfRule type="expression" dxfId="113" priority="13">
      <formula>$L4="轻微"</formula>
    </cfRule>
  </conditionalFormatting>
  <conditionalFormatting sqref="O4:O9">
    <cfRule type="expression" dxfId="112" priority="14">
      <formula>$O4="已完成"</formula>
    </cfRule>
    <cfRule type="expression" dxfId="111" priority="15">
      <formula>$O4="待讨论"</formula>
    </cfRule>
    <cfRule type="expression" dxfId="110" priority="16">
      <formula>$O4="暂不修复"</formula>
    </cfRule>
  </conditionalFormatting>
  <conditionalFormatting sqref="P4:P9">
    <cfRule type="expression" dxfId="109" priority="17">
      <formula>$P4="通过"</formula>
    </cfRule>
    <cfRule type="expression" dxfId="108" priority="18">
      <formula>$P4="不通过"</formula>
    </cfRule>
  </conditionalFormatting>
  <dataValidations count="7">
    <dataValidation type="list" allowBlank="1" errorTitle="输入无效" error="请选择下拉列表中的值" promptTitle="可选值" prompt="请从列表中选择" sqref="D4:D9" xr:uid="{00000000-0002-0000-0200-000000000000}">
      <formula1>"P0,P1,P2,P3"</formula1>
    </dataValidation>
    <dataValidation type="list" allowBlank="1" errorTitle="输入无效" error="请选择下拉列表中的值" promptTitle="可选值" prompt="请从列表中选择" sqref="E4:E9" xr:uid="{00000000-0002-0000-0200-000001000000}">
      <formula1>"功能,流程,校验,权限,安全,异常"</formula1>
    </dataValidation>
    <dataValidation type="list" allowBlank="1" errorTitle="输入无效" error="请选择下拉列表中的值" promptTitle="可选值" prompt="请从列表中选择" sqref="J4:J9" xr:uid="{00000000-0002-0000-0200-000002000000}">
      <formula1>"未执行,通过,失败,阻塞,不适用"</formula1>
    </dataValidation>
    <dataValidation type="list" allowBlank="1" errorTitle="输入无效" error="请选择下拉列表中的值" promptTitle="可选值" prompt="请从列表中选择" sqref="K4:K9" xr:uid="{00000000-0002-0000-0200-000003000000}">
      <formula1>"是,否"</formula1>
    </dataValidation>
    <dataValidation type="list" allowBlank="1" errorTitle="输入无效" error="请选择下拉列表中的值" promptTitle="可选值" prompt="请从列表中选择" sqref="L4:L9" xr:uid="{00000000-0002-0000-0200-000004000000}">
      <formula1>"阻塞,高,中,低,轻微"</formula1>
    </dataValidation>
    <dataValidation type="list" allowBlank="1" errorTitle="输入无效" error="请选择下拉列表中的值" promptTitle="可选值" prompt="请从列表中选择" sqref="O4:O9" xr:uid="{00000000-0002-0000-0200-000005000000}">
      <formula1>"已完成,待讨论,暂不修复"</formula1>
    </dataValidation>
    <dataValidation type="list" allowBlank="1" errorTitle="输入无效" error="请选择下拉列表中的值" promptTitle="可选值" prompt="请从列表中选择" sqref="P4:P9" xr:uid="{00000000-0002-0000-0200-000006000000}">
      <formula1>"通过,不通过"</formula1>
    </dataValidation>
  </dataValidations>
  <pageMargins left="0.75" right="0.75" top="1" bottom="1" header="0.5" footer="0.5"/>
  <pageSetup fitToHeight="0"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P8"/>
  <sheetViews>
    <sheetView showGridLines="0" workbookViewId="0">
      <pane xSplit="5" ySplit="3" topLeftCell="F4" activePane="bottomRight" state="frozen"/>
      <selection pane="topRight"/>
      <selection pane="bottomLeft"/>
      <selection pane="bottomRight"/>
    </sheetView>
  </sheetViews>
  <sheetFormatPr defaultRowHeight="14"/>
  <cols>
    <col min="1" max="1" width="16" customWidth="1"/>
    <col min="2" max="2" width="18" customWidth="1"/>
    <col min="3" max="3" width="34" customWidth="1"/>
    <col min="4" max="4" width="10" customWidth="1"/>
    <col min="5" max="5" width="12" customWidth="1"/>
    <col min="6" max="7" width="34" customWidth="1"/>
    <col min="8" max="8" width="54" customWidth="1"/>
    <col min="9" max="9" width="56" customWidth="1"/>
    <col min="10" max="12" width="12" customWidth="1"/>
    <col min="13" max="13" width="30" customWidth="1"/>
    <col min="14" max="14" width="28" customWidth="1"/>
    <col min="15" max="16" width="14" customWidth="1"/>
  </cols>
  <sheetData>
    <row r="1" spans="1:16" ht="34" customHeight="1">
      <c r="A1" s="13" t="s">
        <v>114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</row>
    <row r="2" spans="1:16" ht="26" customHeight="1">
      <c r="A2" s="19" t="s">
        <v>42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</row>
    <row r="3" spans="1:16" ht="36" customHeight="1">
      <c r="A3" s="2" t="s">
        <v>43</v>
      </c>
      <c r="B3" s="2" t="s">
        <v>44</v>
      </c>
      <c r="C3" s="2" t="s">
        <v>45</v>
      </c>
      <c r="D3" s="2" t="s">
        <v>46</v>
      </c>
      <c r="E3" s="2" t="s">
        <v>47</v>
      </c>
      <c r="F3" s="2" t="s">
        <v>48</v>
      </c>
      <c r="G3" s="2" t="s">
        <v>49</v>
      </c>
      <c r="H3" s="2" t="s">
        <v>50</v>
      </c>
      <c r="I3" s="2" t="s">
        <v>51</v>
      </c>
      <c r="J3" s="2" t="s">
        <v>52</v>
      </c>
      <c r="K3" s="2" t="s">
        <v>53</v>
      </c>
      <c r="L3" s="2" t="s">
        <v>54</v>
      </c>
      <c r="M3" s="2" t="s">
        <v>55</v>
      </c>
      <c r="N3" s="2" t="s">
        <v>56</v>
      </c>
      <c r="O3" s="2" t="s">
        <v>57</v>
      </c>
      <c r="P3" s="2" t="s">
        <v>58</v>
      </c>
    </row>
    <row r="4" spans="1:16" ht="127" customHeight="1">
      <c r="A4" s="7" t="s">
        <v>115</v>
      </c>
      <c r="B4" s="7" t="s">
        <v>23</v>
      </c>
      <c r="C4" s="8" t="s">
        <v>116</v>
      </c>
      <c r="D4" s="7" t="s">
        <v>15</v>
      </c>
      <c r="E4" s="7" t="s">
        <v>67</v>
      </c>
      <c r="F4" s="8" t="s">
        <v>117</v>
      </c>
      <c r="G4" s="8" t="s">
        <v>118</v>
      </c>
      <c r="H4" s="8" t="s">
        <v>119</v>
      </c>
      <c r="I4" s="8" t="s">
        <v>251</v>
      </c>
      <c r="J4" s="9" t="s">
        <v>251</v>
      </c>
      <c r="K4" s="9" t="s">
        <v>252</v>
      </c>
      <c r="L4" s="9" t="s">
        <v>254</v>
      </c>
      <c r="M4" s="10" t="s">
        <v>262</v>
      </c>
      <c r="N4" s="10" t="s">
        <v>282</v>
      </c>
      <c r="O4" s="9"/>
      <c r="P4" s="9"/>
    </row>
    <row r="5" spans="1:16" ht="127" customHeight="1">
      <c r="A5" s="11" t="s">
        <v>120</v>
      </c>
      <c r="B5" s="11" t="s">
        <v>23</v>
      </c>
      <c r="C5" s="12" t="s">
        <v>121</v>
      </c>
      <c r="D5" s="11" t="s">
        <v>15</v>
      </c>
      <c r="E5" s="11" t="s">
        <v>73</v>
      </c>
      <c r="F5" s="12" t="s">
        <v>122</v>
      </c>
      <c r="G5" s="12" t="s">
        <v>123</v>
      </c>
      <c r="H5" s="12" t="s">
        <v>124</v>
      </c>
      <c r="I5" s="12" t="s">
        <v>251</v>
      </c>
      <c r="J5" s="9" t="s">
        <v>251</v>
      </c>
      <c r="K5" s="9" t="s">
        <v>252</v>
      </c>
      <c r="L5" s="9" t="s">
        <v>254</v>
      </c>
      <c r="M5" s="10" t="s">
        <v>263</v>
      </c>
      <c r="N5" s="10" t="s">
        <v>283</v>
      </c>
      <c r="O5" s="9"/>
      <c r="P5" s="9"/>
    </row>
    <row r="6" spans="1:16" ht="127" customHeight="1">
      <c r="A6" s="7" t="s">
        <v>125</v>
      </c>
      <c r="B6" s="7" t="s">
        <v>23</v>
      </c>
      <c r="C6" s="8" t="s">
        <v>126</v>
      </c>
      <c r="D6" s="7" t="s">
        <v>15</v>
      </c>
      <c r="E6" s="7" t="s">
        <v>67</v>
      </c>
      <c r="F6" s="8" t="s">
        <v>127</v>
      </c>
      <c r="G6" s="8" t="s">
        <v>128</v>
      </c>
      <c r="H6" s="8" t="s">
        <v>129</v>
      </c>
      <c r="I6" s="8" t="s">
        <v>251</v>
      </c>
      <c r="J6" s="9" t="s">
        <v>251</v>
      </c>
      <c r="K6" s="9" t="s">
        <v>252</v>
      </c>
      <c r="L6" s="9" t="s">
        <v>254</v>
      </c>
      <c r="M6" s="10" t="s">
        <v>264</v>
      </c>
      <c r="N6" s="10" t="s">
        <v>284</v>
      </c>
      <c r="O6" s="9"/>
      <c r="P6" s="9"/>
    </row>
    <row r="7" spans="1:16" ht="127" customHeight="1">
      <c r="A7" s="11" t="s">
        <v>130</v>
      </c>
      <c r="B7" s="11" t="s">
        <v>23</v>
      </c>
      <c r="C7" s="12" t="s">
        <v>131</v>
      </c>
      <c r="D7" s="11" t="s">
        <v>15</v>
      </c>
      <c r="E7" s="11" t="s">
        <v>73</v>
      </c>
      <c r="F7" s="12" t="s">
        <v>132</v>
      </c>
      <c r="G7" s="12" t="s">
        <v>133</v>
      </c>
      <c r="H7" s="12" t="s">
        <v>134</v>
      </c>
      <c r="I7" s="12" t="s">
        <v>251</v>
      </c>
      <c r="J7" s="9" t="s">
        <v>251</v>
      </c>
      <c r="K7" s="9" t="s">
        <v>252</v>
      </c>
      <c r="L7" s="9" t="s">
        <v>254</v>
      </c>
      <c r="M7" s="10" t="s">
        <v>265</v>
      </c>
      <c r="N7" s="10" t="s">
        <v>285</v>
      </c>
      <c r="O7" s="9"/>
      <c r="P7" s="9"/>
    </row>
    <row r="8" spans="1:16" ht="127" customHeight="1">
      <c r="A8" s="7" t="s">
        <v>135</v>
      </c>
      <c r="B8" s="7" t="s">
        <v>23</v>
      </c>
      <c r="C8" s="8" t="s">
        <v>136</v>
      </c>
      <c r="D8" s="7" t="s">
        <v>15</v>
      </c>
      <c r="E8" s="7" t="s">
        <v>137</v>
      </c>
      <c r="F8" s="8" t="s">
        <v>138</v>
      </c>
      <c r="G8" s="8" t="s">
        <v>139</v>
      </c>
      <c r="H8" s="8" t="s">
        <v>140</v>
      </c>
      <c r="I8" s="8" t="s">
        <v>251</v>
      </c>
      <c r="J8" s="9" t="s">
        <v>251</v>
      </c>
      <c r="K8" s="9" t="s">
        <v>252</v>
      </c>
      <c r="L8" s="9" t="s">
        <v>254</v>
      </c>
      <c r="M8" s="10" t="s">
        <v>266</v>
      </c>
      <c r="N8" s="10" t="s">
        <v>286</v>
      </c>
      <c r="O8" s="9"/>
      <c r="P8" s="9"/>
    </row>
  </sheetData>
  <mergeCells count="2">
    <mergeCell ref="A1:P1"/>
    <mergeCell ref="A2:P2"/>
  </mergeCells>
  <phoneticPr fontId="7" type="noConversion"/>
  <conditionalFormatting sqref="D4:D8">
    <cfRule type="expression" dxfId="107" priority="1">
      <formula>$D4="P0"</formula>
    </cfRule>
    <cfRule type="expression" dxfId="106" priority="2">
      <formula>$D4="P1"</formula>
    </cfRule>
  </conditionalFormatting>
  <conditionalFormatting sqref="J4:J8">
    <cfRule type="expression" dxfId="105" priority="3">
      <formula>$J4="通过"</formula>
    </cfRule>
    <cfRule type="expression" dxfId="104" priority="4">
      <formula>$J4="失败"</formula>
    </cfRule>
    <cfRule type="expression" dxfId="103" priority="5">
      <formula>$J4="阻塞"</formula>
    </cfRule>
    <cfRule type="expression" dxfId="102" priority="6">
      <formula>$J4="不适用"</formula>
    </cfRule>
  </conditionalFormatting>
  <conditionalFormatting sqref="K4:K8">
    <cfRule type="expression" dxfId="101" priority="7">
      <formula>$K4="是"</formula>
    </cfRule>
    <cfRule type="expression" dxfId="100" priority="8">
      <formula>$K4="否"</formula>
    </cfRule>
  </conditionalFormatting>
  <conditionalFormatting sqref="L4:L8">
    <cfRule type="expression" dxfId="99" priority="9">
      <formula>$L4="阻塞"</formula>
    </cfRule>
    <cfRule type="expression" dxfId="98" priority="10">
      <formula>$L4="高"</formula>
    </cfRule>
    <cfRule type="expression" dxfId="97" priority="11">
      <formula>$L4="中"</formula>
    </cfRule>
    <cfRule type="expression" dxfId="96" priority="12">
      <formula>$L4="低"</formula>
    </cfRule>
    <cfRule type="expression" dxfId="95" priority="13">
      <formula>$L4="轻微"</formula>
    </cfRule>
  </conditionalFormatting>
  <conditionalFormatting sqref="O4:O8">
    <cfRule type="expression" dxfId="94" priority="14">
      <formula>$O4="已完成"</formula>
    </cfRule>
    <cfRule type="expression" dxfId="93" priority="15">
      <formula>$O4="待讨论"</formula>
    </cfRule>
    <cfRule type="expression" dxfId="92" priority="16">
      <formula>$O4="暂不修复"</formula>
    </cfRule>
  </conditionalFormatting>
  <conditionalFormatting sqref="P4:P8">
    <cfRule type="expression" dxfId="91" priority="17">
      <formula>$P4="通过"</formula>
    </cfRule>
    <cfRule type="expression" dxfId="90" priority="18">
      <formula>$P4="不通过"</formula>
    </cfRule>
  </conditionalFormatting>
  <dataValidations count="7">
    <dataValidation type="list" allowBlank="1" errorTitle="输入无效" error="请选择下拉列表中的值" promptTitle="可选值" prompt="请从列表中选择" sqref="D4:D8" xr:uid="{00000000-0002-0000-0300-000000000000}">
      <formula1>"P0,P1,P2,P3"</formula1>
    </dataValidation>
    <dataValidation type="list" allowBlank="1" errorTitle="输入无效" error="请选择下拉列表中的值" promptTitle="可选值" prompt="请从列表中选择" sqref="E4:E8" xr:uid="{00000000-0002-0000-0300-000001000000}">
      <formula1>"功能,流程,校验,权限,安全,异常"</formula1>
    </dataValidation>
    <dataValidation type="list" allowBlank="1" errorTitle="输入无效" error="请选择下拉列表中的值" promptTitle="可选值" prompt="请从列表中选择" sqref="J4:J8" xr:uid="{00000000-0002-0000-0300-000002000000}">
      <formula1>"未执行,通过,失败,阻塞,不适用"</formula1>
    </dataValidation>
    <dataValidation type="list" allowBlank="1" errorTitle="输入无效" error="请选择下拉列表中的值" promptTitle="可选值" prompt="请从列表中选择" sqref="K4:K8" xr:uid="{00000000-0002-0000-0300-000003000000}">
      <formula1>"是,否"</formula1>
    </dataValidation>
    <dataValidation type="list" allowBlank="1" errorTitle="输入无效" error="请选择下拉列表中的值" promptTitle="可选值" prompt="请从列表中选择" sqref="L4:L8" xr:uid="{00000000-0002-0000-0300-000004000000}">
      <formula1>"阻塞,高,中,低,轻微"</formula1>
    </dataValidation>
    <dataValidation type="list" allowBlank="1" errorTitle="输入无效" error="请选择下拉列表中的值" promptTitle="可选值" prompt="请从列表中选择" sqref="O4:O8" xr:uid="{00000000-0002-0000-0300-000005000000}">
      <formula1>"已完成,待讨论,暂不修复"</formula1>
    </dataValidation>
    <dataValidation type="list" allowBlank="1" errorTitle="输入无效" error="请选择下拉列表中的值" promptTitle="可选值" prompt="请从列表中选择" sqref="P4:P8" xr:uid="{00000000-0002-0000-0300-000006000000}">
      <formula1>"通过,不通过"</formula1>
    </dataValidation>
  </dataValidations>
  <pageMargins left="0.75" right="0.75" top="1" bottom="1" header="0.5" footer="0.5"/>
  <pageSetup fitToHeight="0"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P7"/>
  <sheetViews>
    <sheetView showGridLines="0" workbookViewId="0">
      <pane xSplit="5" ySplit="3" topLeftCell="F4" activePane="bottomRight" state="frozen"/>
      <selection pane="topRight"/>
      <selection pane="bottomLeft"/>
      <selection pane="bottomRight"/>
    </sheetView>
  </sheetViews>
  <sheetFormatPr defaultRowHeight="14"/>
  <cols>
    <col min="1" max="1" width="16" customWidth="1"/>
    <col min="2" max="2" width="18" customWidth="1"/>
    <col min="3" max="3" width="34" customWidth="1"/>
    <col min="4" max="4" width="10" customWidth="1"/>
    <col min="5" max="5" width="12" customWidth="1"/>
    <col min="6" max="7" width="34" customWidth="1"/>
    <col min="8" max="8" width="54" customWidth="1"/>
    <col min="9" max="9" width="56" customWidth="1"/>
    <col min="10" max="12" width="12" customWidth="1"/>
    <col min="13" max="13" width="30" customWidth="1"/>
    <col min="14" max="14" width="28" customWidth="1"/>
    <col min="15" max="16" width="14" customWidth="1"/>
  </cols>
  <sheetData>
    <row r="1" spans="1:16" ht="34" customHeight="1">
      <c r="A1" s="13" t="s">
        <v>141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</row>
    <row r="2" spans="1:16" ht="26" customHeight="1">
      <c r="A2" s="19" t="s">
        <v>42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</row>
    <row r="3" spans="1:16" ht="36" customHeight="1">
      <c r="A3" s="2" t="s">
        <v>43</v>
      </c>
      <c r="B3" s="2" t="s">
        <v>44</v>
      </c>
      <c r="C3" s="2" t="s">
        <v>45</v>
      </c>
      <c r="D3" s="2" t="s">
        <v>46</v>
      </c>
      <c r="E3" s="2" t="s">
        <v>47</v>
      </c>
      <c r="F3" s="2" t="s">
        <v>48</v>
      </c>
      <c r="G3" s="2" t="s">
        <v>49</v>
      </c>
      <c r="H3" s="2" t="s">
        <v>50</v>
      </c>
      <c r="I3" s="2" t="s">
        <v>51</v>
      </c>
      <c r="J3" s="2" t="s">
        <v>52</v>
      </c>
      <c r="K3" s="2" t="s">
        <v>53</v>
      </c>
      <c r="L3" s="2" t="s">
        <v>54</v>
      </c>
      <c r="M3" s="2" t="s">
        <v>55</v>
      </c>
      <c r="N3" s="2" t="s">
        <v>56</v>
      </c>
      <c r="O3" s="2" t="s">
        <v>57</v>
      </c>
      <c r="P3" s="2" t="s">
        <v>58</v>
      </c>
    </row>
    <row r="4" spans="1:16" ht="127" customHeight="1">
      <c r="A4" s="7" t="s">
        <v>142</v>
      </c>
      <c r="B4" s="7" t="s">
        <v>24</v>
      </c>
      <c r="C4" s="8" t="s">
        <v>143</v>
      </c>
      <c r="D4" s="7" t="s">
        <v>15</v>
      </c>
      <c r="E4" s="7" t="s">
        <v>67</v>
      </c>
      <c r="F4" s="8" t="s">
        <v>144</v>
      </c>
      <c r="G4" s="8" t="s">
        <v>145</v>
      </c>
      <c r="H4" s="8" t="s">
        <v>146</v>
      </c>
      <c r="I4" s="8" t="s">
        <v>251</v>
      </c>
      <c r="J4" s="9" t="s">
        <v>251</v>
      </c>
      <c r="K4" s="9" t="s">
        <v>256</v>
      </c>
      <c r="L4" s="9"/>
      <c r="M4" s="10" t="s">
        <v>300</v>
      </c>
      <c r="N4" s="10"/>
      <c r="O4" s="9"/>
      <c r="P4" s="9"/>
    </row>
    <row r="5" spans="1:16" ht="127" customHeight="1">
      <c r="A5" s="11" t="s">
        <v>147</v>
      </c>
      <c r="B5" s="11" t="s">
        <v>24</v>
      </c>
      <c r="C5" s="12" t="s">
        <v>148</v>
      </c>
      <c r="D5" s="11" t="s">
        <v>15</v>
      </c>
      <c r="E5" s="11" t="s">
        <v>61</v>
      </c>
      <c r="F5" s="12" t="s">
        <v>149</v>
      </c>
      <c r="G5" s="12" t="s">
        <v>150</v>
      </c>
      <c r="H5" s="12" t="s">
        <v>151</v>
      </c>
      <c r="I5" s="12" t="s">
        <v>253</v>
      </c>
      <c r="J5" s="9" t="s">
        <v>251</v>
      </c>
      <c r="K5" s="9" t="s">
        <v>256</v>
      </c>
      <c r="L5" s="9"/>
      <c r="M5" s="10" t="s">
        <v>260</v>
      </c>
      <c r="N5" s="10"/>
      <c r="O5" s="9"/>
      <c r="P5" s="9"/>
    </row>
    <row r="6" spans="1:16" ht="127" customHeight="1">
      <c r="A6" s="7" t="s">
        <v>152</v>
      </c>
      <c r="B6" s="7" t="s">
        <v>24</v>
      </c>
      <c r="C6" s="8" t="s">
        <v>153</v>
      </c>
      <c r="D6" s="7" t="s">
        <v>15</v>
      </c>
      <c r="E6" s="7" t="s">
        <v>67</v>
      </c>
      <c r="F6" s="8" t="s">
        <v>154</v>
      </c>
      <c r="G6" s="8" t="s">
        <v>155</v>
      </c>
      <c r="H6" s="8" t="s">
        <v>156</v>
      </c>
      <c r="I6" s="8" t="s">
        <v>253</v>
      </c>
      <c r="J6" s="9" t="s">
        <v>251</v>
      </c>
      <c r="K6" s="9" t="s">
        <v>255</v>
      </c>
      <c r="L6" s="9"/>
      <c r="M6" s="10" t="s">
        <v>301</v>
      </c>
      <c r="N6" s="10"/>
      <c r="O6" s="9"/>
      <c r="P6" s="9"/>
    </row>
    <row r="7" spans="1:16" ht="127" customHeight="1">
      <c r="A7" s="11" t="s">
        <v>157</v>
      </c>
      <c r="B7" s="11" t="s">
        <v>24</v>
      </c>
      <c r="C7" s="12" t="s">
        <v>158</v>
      </c>
      <c r="D7" s="11" t="s">
        <v>15</v>
      </c>
      <c r="E7" s="11" t="s">
        <v>137</v>
      </c>
      <c r="F7" s="12" t="s">
        <v>159</v>
      </c>
      <c r="G7" s="12" t="s">
        <v>160</v>
      </c>
      <c r="H7" s="12" t="s">
        <v>161</v>
      </c>
      <c r="I7" s="12" t="s">
        <v>253</v>
      </c>
      <c r="J7" s="9" t="s">
        <v>251</v>
      </c>
      <c r="K7" s="9" t="s">
        <v>255</v>
      </c>
      <c r="L7" s="9"/>
      <c r="M7" s="10" t="s">
        <v>261</v>
      </c>
      <c r="N7" s="10"/>
      <c r="O7" s="9"/>
      <c r="P7" s="9"/>
    </row>
  </sheetData>
  <mergeCells count="2">
    <mergeCell ref="A1:P1"/>
    <mergeCell ref="A2:P2"/>
  </mergeCells>
  <phoneticPr fontId="7" type="noConversion"/>
  <conditionalFormatting sqref="D4:D7">
    <cfRule type="expression" dxfId="89" priority="1">
      <formula>$D4="P0"</formula>
    </cfRule>
    <cfRule type="expression" dxfId="88" priority="2">
      <formula>$D4="P1"</formula>
    </cfRule>
  </conditionalFormatting>
  <conditionalFormatting sqref="J4:J7">
    <cfRule type="expression" dxfId="87" priority="3">
      <formula>$J4="通过"</formula>
    </cfRule>
    <cfRule type="expression" dxfId="86" priority="4">
      <formula>$J4="失败"</formula>
    </cfRule>
    <cfRule type="expression" dxfId="85" priority="5">
      <formula>$J4="阻塞"</formula>
    </cfRule>
    <cfRule type="expression" dxfId="84" priority="6">
      <formula>$J4="不适用"</formula>
    </cfRule>
  </conditionalFormatting>
  <conditionalFormatting sqref="K4:K7">
    <cfRule type="expression" dxfId="83" priority="7">
      <formula>$K4="是"</formula>
    </cfRule>
    <cfRule type="expression" dxfId="82" priority="8">
      <formula>$K4="否"</formula>
    </cfRule>
  </conditionalFormatting>
  <conditionalFormatting sqref="L4:L7">
    <cfRule type="expression" dxfId="81" priority="9">
      <formula>$L4="阻塞"</formula>
    </cfRule>
    <cfRule type="expression" dxfId="80" priority="10">
      <formula>$L4="高"</formula>
    </cfRule>
    <cfRule type="expression" dxfId="79" priority="11">
      <formula>$L4="中"</formula>
    </cfRule>
    <cfRule type="expression" dxfId="78" priority="12">
      <formula>$L4="低"</formula>
    </cfRule>
    <cfRule type="expression" dxfId="77" priority="13">
      <formula>$L4="轻微"</formula>
    </cfRule>
  </conditionalFormatting>
  <conditionalFormatting sqref="O4:O7">
    <cfRule type="expression" dxfId="76" priority="14">
      <formula>$O4="已完成"</formula>
    </cfRule>
    <cfRule type="expression" dxfId="75" priority="15">
      <formula>$O4="待讨论"</formula>
    </cfRule>
    <cfRule type="expression" dxfId="74" priority="16">
      <formula>$O4="暂不修复"</formula>
    </cfRule>
  </conditionalFormatting>
  <conditionalFormatting sqref="P4:P7">
    <cfRule type="expression" dxfId="73" priority="17">
      <formula>$P4="通过"</formula>
    </cfRule>
    <cfRule type="expression" dxfId="72" priority="18">
      <formula>$P4="不通过"</formula>
    </cfRule>
  </conditionalFormatting>
  <dataValidations count="7">
    <dataValidation type="list" allowBlank="1" errorTitle="输入无效" error="请选择下拉列表中的值" promptTitle="可选值" prompt="请从列表中选择" sqref="D4:D7" xr:uid="{00000000-0002-0000-0400-000000000000}">
      <formula1>"P0,P1,P2,P3"</formula1>
    </dataValidation>
    <dataValidation type="list" allowBlank="1" errorTitle="输入无效" error="请选择下拉列表中的值" promptTitle="可选值" prompt="请从列表中选择" sqref="E4:E7" xr:uid="{00000000-0002-0000-0400-000001000000}">
      <formula1>"功能,流程,校验,权限,安全,异常"</formula1>
    </dataValidation>
    <dataValidation type="list" allowBlank="1" errorTitle="输入无效" error="请选择下拉列表中的值" promptTitle="可选值" prompt="请从列表中选择" sqref="J4:J7" xr:uid="{00000000-0002-0000-0400-000002000000}">
      <formula1>"未执行,通过,失败,阻塞,不适用"</formula1>
    </dataValidation>
    <dataValidation type="list" allowBlank="1" errorTitle="输入无效" error="请选择下拉列表中的值" promptTitle="可选值" prompt="请从列表中选择" sqref="K4:K7" xr:uid="{00000000-0002-0000-0400-000003000000}">
      <formula1>"是,否"</formula1>
    </dataValidation>
    <dataValidation type="list" allowBlank="1" errorTitle="输入无效" error="请选择下拉列表中的值" promptTitle="可选值" prompt="请从列表中选择" sqref="L4:L7" xr:uid="{00000000-0002-0000-0400-000004000000}">
      <formula1>"阻塞,高,中,低,轻微"</formula1>
    </dataValidation>
    <dataValidation type="list" allowBlank="1" errorTitle="输入无效" error="请选择下拉列表中的值" promptTitle="可选值" prompt="请从列表中选择" sqref="O4:O7" xr:uid="{00000000-0002-0000-0400-000005000000}">
      <formula1>"已完成,待讨论,暂不修复"</formula1>
    </dataValidation>
    <dataValidation type="list" allowBlank="1" errorTitle="输入无效" error="请选择下拉列表中的值" promptTitle="可选值" prompt="请从列表中选择" sqref="P4:P7" xr:uid="{00000000-0002-0000-0400-000006000000}">
      <formula1>"通过,不通过"</formula1>
    </dataValidation>
  </dataValidations>
  <pageMargins left="0.75" right="0.75" top="1" bottom="1" header="0.5" footer="0.5"/>
  <pageSetup fitToHeight="0"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P8"/>
  <sheetViews>
    <sheetView showGridLines="0" workbookViewId="0">
      <pane xSplit="5" ySplit="3" topLeftCell="F4" activePane="bottomRight" state="frozen"/>
      <selection pane="topRight"/>
      <selection pane="bottomLeft"/>
      <selection pane="bottomRight"/>
    </sheetView>
  </sheetViews>
  <sheetFormatPr defaultRowHeight="14"/>
  <cols>
    <col min="1" max="1" width="16" customWidth="1"/>
    <col min="2" max="2" width="18" customWidth="1"/>
    <col min="3" max="3" width="34" customWidth="1"/>
    <col min="4" max="4" width="10" customWidth="1"/>
    <col min="5" max="5" width="12" customWidth="1"/>
    <col min="6" max="7" width="34" customWidth="1"/>
    <col min="8" max="8" width="54" customWidth="1"/>
    <col min="9" max="9" width="56" customWidth="1"/>
    <col min="10" max="12" width="12" customWidth="1"/>
    <col min="13" max="13" width="30" customWidth="1"/>
    <col min="14" max="14" width="28" customWidth="1"/>
    <col min="15" max="16" width="14" customWidth="1"/>
  </cols>
  <sheetData>
    <row r="1" spans="1:16" ht="34" customHeight="1">
      <c r="A1" s="13" t="s">
        <v>162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</row>
    <row r="2" spans="1:16" ht="26" customHeight="1">
      <c r="A2" s="19" t="s">
        <v>42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</row>
    <row r="3" spans="1:16" ht="36" customHeight="1">
      <c r="A3" s="2" t="s">
        <v>43</v>
      </c>
      <c r="B3" s="2" t="s">
        <v>44</v>
      </c>
      <c r="C3" s="2" t="s">
        <v>45</v>
      </c>
      <c r="D3" s="2" t="s">
        <v>46</v>
      </c>
      <c r="E3" s="2" t="s">
        <v>47</v>
      </c>
      <c r="F3" s="2" t="s">
        <v>48</v>
      </c>
      <c r="G3" s="2" t="s">
        <v>49</v>
      </c>
      <c r="H3" s="2" t="s">
        <v>50</v>
      </c>
      <c r="I3" s="2" t="s">
        <v>51</v>
      </c>
      <c r="J3" s="2" t="s">
        <v>52</v>
      </c>
      <c r="K3" s="2" t="s">
        <v>53</v>
      </c>
      <c r="L3" s="2" t="s">
        <v>54</v>
      </c>
      <c r="M3" s="2" t="s">
        <v>55</v>
      </c>
      <c r="N3" s="2" t="s">
        <v>56</v>
      </c>
      <c r="O3" s="2" t="s">
        <v>57</v>
      </c>
      <c r="P3" s="2" t="s">
        <v>58</v>
      </c>
    </row>
    <row r="4" spans="1:16" ht="127" customHeight="1">
      <c r="A4" s="7" t="s">
        <v>163</v>
      </c>
      <c r="B4" s="7" t="s">
        <v>25</v>
      </c>
      <c r="C4" s="8" t="s">
        <v>164</v>
      </c>
      <c r="D4" s="7" t="s">
        <v>15</v>
      </c>
      <c r="E4" s="7" t="s">
        <v>67</v>
      </c>
      <c r="F4" s="8" t="s">
        <v>165</v>
      </c>
      <c r="G4" s="8" t="s">
        <v>166</v>
      </c>
      <c r="H4" s="8" t="s">
        <v>167</v>
      </c>
      <c r="I4" s="8" t="s">
        <v>251</v>
      </c>
      <c r="J4" s="9" t="s">
        <v>251</v>
      </c>
      <c r="K4" s="9" t="s">
        <v>256</v>
      </c>
      <c r="L4" s="9"/>
      <c r="M4" s="10" t="s">
        <v>267</v>
      </c>
      <c r="N4" s="10"/>
      <c r="O4" s="9"/>
      <c r="P4" s="9"/>
    </row>
    <row r="5" spans="1:16" ht="127" customHeight="1">
      <c r="A5" s="11" t="s">
        <v>168</v>
      </c>
      <c r="B5" s="11" t="s">
        <v>25</v>
      </c>
      <c r="C5" s="12" t="s">
        <v>169</v>
      </c>
      <c r="D5" s="11" t="s">
        <v>15</v>
      </c>
      <c r="E5" s="11" t="s">
        <v>61</v>
      </c>
      <c r="F5" s="12" t="s">
        <v>170</v>
      </c>
      <c r="G5" s="12" t="s">
        <v>171</v>
      </c>
      <c r="H5" s="12" t="s">
        <v>172</v>
      </c>
      <c r="I5" s="12" t="s">
        <v>253</v>
      </c>
      <c r="J5" s="9" t="s">
        <v>251</v>
      </c>
      <c r="K5" s="9" t="s">
        <v>255</v>
      </c>
      <c r="L5" s="9"/>
      <c r="M5" s="10" t="s">
        <v>295</v>
      </c>
      <c r="N5" s="10"/>
      <c r="O5" s="9"/>
      <c r="P5" s="9"/>
    </row>
    <row r="6" spans="1:16" ht="127" customHeight="1">
      <c r="A6" s="7" t="s">
        <v>173</v>
      </c>
      <c r="B6" s="7" t="s">
        <v>25</v>
      </c>
      <c r="C6" s="8" t="s">
        <v>174</v>
      </c>
      <c r="D6" s="7" t="s">
        <v>15</v>
      </c>
      <c r="E6" s="7" t="s">
        <v>61</v>
      </c>
      <c r="F6" s="8" t="s">
        <v>175</v>
      </c>
      <c r="G6" s="8" t="s">
        <v>176</v>
      </c>
      <c r="H6" s="8" t="s">
        <v>177</v>
      </c>
      <c r="I6" s="8" t="s">
        <v>253</v>
      </c>
      <c r="J6" s="9" t="s">
        <v>251</v>
      </c>
      <c r="K6" s="9" t="s">
        <v>291</v>
      </c>
      <c r="L6" s="9" t="s">
        <v>296</v>
      </c>
      <c r="M6" s="10" t="s">
        <v>297</v>
      </c>
      <c r="N6" s="10" t="s">
        <v>298</v>
      </c>
      <c r="O6" s="9"/>
      <c r="P6" s="9"/>
    </row>
    <row r="7" spans="1:16" ht="127" customHeight="1">
      <c r="A7" s="11" t="s">
        <v>178</v>
      </c>
      <c r="B7" s="11" t="s">
        <v>25</v>
      </c>
      <c r="C7" s="12" t="s">
        <v>179</v>
      </c>
      <c r="D7" s="11" t="s">
        <v>15</v>
      </c>
      <c r="E7" s="11" t="s">
        <v>67</v>
      </c>
      <c r="F7" s="12" t="s">
        <v>180</v>
      </c>
      <c r="G7" s="12" t="s">
        <v>181</v>
      </c>
      <c r="H7" s="12" t="s">
        <v>182</v>
      </c>
      <c r="I7" s="12" t="s">
        <v>253</v>
      </c>
      <c r="J7" s="9" t="s">
        <v>251</v>
      </c>
      <c r="K7" s="9" t="s">
        <v>255</v>
      </c>
      <c r="L7" s="9"/>
      <c r="M7" s="10" t="s">
        <v>299</v>
      </c>
      <c r="N7" s="10"/>
      <c r="O7" s="9"/>
      <c r="P7" s="9"/>
    </row>
    <row r="8" spans="1:16" ht="127" customHeight="1">
      <c r="A8" s="7" t="s">
        <v>183</v>
      </c>
      <c r="B8" s="7" t="s">
        <v>25</v>
      </c>
      <c r="C8" s="8" t="s">
        <v>184</v>
      </c>
      <c r="D8" s="7" t="s">
        <v>15</v>
      </c>
      <c r="E8" s="7" t="s">
        <v>61</v>
      </c>
      <c r="F8" s="8" t="s">
        <v>185</v>
      </c>
      <c r="G8" s="8" t="s">
        <v>186</v>
      </c>
      <c r="H8" s="8" t="s">
        <v>187</v>
      </c>
      <c r="I8" s="8" t="s">
        <v>251</v>
      </c>
      <c r="J8" s="9" t="s">
        <v>251</v>
      </c>
      <c r="K8" s="9" t="s">
        <v>256</v>
      </c>
      <c r="L8" s="9"/>
      <c r="M8" s="10" t="s">
        <v>268</v>
      </c>
      <c r="N8" s="10"/>
      <c r="O8" s="9"/>
      <c r="P8" s="9"/>
    </row>
  </sheetData>
  <mergeCells count="2">
    <mergeCell ref="A1:P1"/>
    <mergeCell ref="A2:P2"/>
  </mergeCells>
  <phoneticPr fontId="7" type="noConversion"/>
  <conditionalFormatting sqref="D4:D8">
    <cfRule type="expression" dxfId="71" priority="1">
      <formula>$D4="P0"</formula>
    </cfRule>
    <cfRule type="expression" dxfId="70" priority="2">
      <formula>$D4="P1"</formula>
    </cfRule>
  </conditionalFormatting>
  <conditionalFormatting sqref="J4:J8">
    <cfRule type="expression" dxfId="69" priority="3">
      <formula>$J4="通过"</formula>
    </cfRule>
    <cfRule type="expression" dxfId="68" priority="4">
      <formula>$J4="失败"</formula>
    </cfRule>
    <cfRule type="expression" dxfId="67" priority="5">
      <formula>$J4="阻塞"</formula>
    </cfRule>
    <cfRule type="expression" dxfId="66" priority="6">
      <formula>$J4="不适用"</formula>
    </cfRule>
  </conditionalFormatting>
  <conditionalFormatting sqref="K4:K8">
    <cfRule type="expression" dxfId="65" priority="7">
      <formula>$K4="是"</formula>
    </cfRule>
    <cfRule type="expression" dxfId="64" priority="8">
      <formula>$K4="否"</formula>
    </cfRule>
  </conditionalFormatting>
  <conditionalFormatting sqref="L4:L8">
    <cfRule type="expression" dxfId="63" priority="9">
      <formula>$L4="阻塞"</formula>
    </cfRule>
    <cfRule type="expression" dxfId="62" priority="10">
      <formula>$L4="高"</formula>
    </cfRule>
    <cfRule type="expression" dxfId="61" priority="11">
      <formula>$L4="中"</formula>
    </cfRule>
    <cfRule type="expression" dxfId="60" priority="12">
      <formula>$L4="低"</formula>
    </cfRule>
    <cfRule type="expression" dxfId="59" priority="13">
      <formula>$L4="轻微"</formula>
    </cfRule>
  </conditionalFormatting>
  <conditionalFormatting sqref="O4:O8">
    <cfRule type="expression" dxfId="58" priority="14">
      <formula>$O4="已完成"</formula>
    </cfRule>
    <cfRule type="expression" dxfId="57" priority="15">
      <formula>$O4="待讨论"</formula>
    </cfRule>
    <cfRule type="expression" dxfId="56" priority="16">
      <formula>$O4="暂不修复"</formula>
    </cfRule>
  </conditionalFormatting>
  <conditionalFormatting sqref="P4:P8">
    <cfRule type="expression" dxfId="55" priority="17">
      <formula>$P4="通过"</formula>
    </cfRule>
    <cfRule type="expression" dxfId="54" priority="18">
      <formula>$P4="不通过"</formula>
    </cfRule>
  </conditionalFormatting>
  <dataValidations count="7">
    <dataValidation type="list" allowBlank="1" errorTitle="输入无效" error="请选择下拉列表中的值" promptTitle="可选值" prompt="请从列表中选择" sqref="D4:D8" xr:uid="{00000000-0002-0000-0500-000000000000}">
      <formula1>"P0,P1,P2,P3"</formula1>
    </dataValidation>
    <dataValidation type="list" allowBlank="1" errorTitle="输入无效" error="请选择下拉列表中的值" promptTitle="可选值" prompt="请从列表中选择" sqref="E4:E8" xr:uid="{00000000-0002-0000-0500-000001000000}">
      <formula1>"功能,流程,校验,权限,安全,异常"</formula1>
    </dataValidation>
    <dataValidation type="list" allowBlank="1" errorTitle="输入无效" error="请选择下拉列表中的值" promptTitle="可选值" prompt="请从列表中选择" sqref="J4:J8" xr:uid="{00000000-0002-0000-0500-000002000000}">
      <formula1>"未执行,通过,失败,阻塞,不适用"</formula1>
    </dataValidation>
    <dataValidation type="list" allowBlank="1" errorTitle="输入无效" error="请选择下拉列表中的值" promptTitle="可选值" prompt="请从列表中选择" sqref="K4:K8" xr:uid="{00000000-0002-0000-0500-000003000000}">
      <formula1>"是,否"</formula1>
    </dataValidation>
    <dataValidation type="list" allowBlank="1" errorTitle="输入无效" error="请选择下拉列表中的值" promptTitle="可选值" prompt="请从列表中选择" sqref="L4:L8" xr:uid="{00000000-0002-0000-0500-000004000000}">
      <formula1>"阻塞,高,中,低,轻微"</formula1>
    </dataValidation>
    <dataValidation type="list" allowBlank="1" errorTitle="输入无效" error="请选择下拉列表中的值" promptTitle="可选值" prompt="请从列表中选择" sqref="O4:O8" xr:uid="{00000000-0002-0000-0500-000005000000}">
      <formula1>"已完成,待讨论,暂不修复"</formula1>
    </dataValidation>
    <dataValidation type="list" allowBlank="1" errorTitle="输入无效" error="请选择下拉列表中的值" promptTitle="可选值" prompt="请从列表中选择" sqref="P4:P8" xr:uid="{00000000-0002-0000-0500-000006000000}">
      <formula1>"通过,不通过"</formula1>
    </dataValidation>
  </dataValidations>
  <pageMargins left="0.75" right="0.75" top="1" bottom="1" header="0.5" footer="0.5"/>
  <pageSetup fitToHeight="0"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P7"/>
  <sheetViews>
    <sheetView showGridLines="0" workbookViewId="0">
      <pane xSplit="5" ySplit="3" topLeftCell="F4" activePane="bottomRight" state="frozen"/>
      <selection pane="topRight"/>
      <selection pane="bottomLeft"/>
      <selection pane="bottomRight"/>
    </sheetView>
  </sheetViews>
  <sheetFormatPr defaultRowHeight="14"/>
  <cols>
    <col min="1" max="1" width="16" customWidth="1"/>
    <col min="2" max="2" width="18" customWidth="1"/>
    <col min="3" max="3" width="34" customWidth="1"/>
    <col min="4" max="4" width="10" customWidth="1"/>
    <col min="5" max="5" width="12" customWidth="1"/>
    <col min="6" max="7" width="34" customWidth="1"/>
    <col min="8" max="8" width="54" customWidth="1"/>
    <col min="9" max="9" width="56" customWidth="1"/>
    <col min="10" max="12" width="12" customWidth="1"/>
    <col min="13" max="13" width="30" customWidth="1"/>
    <col min="14" max="14" width="28" customWidth="1"/>
    <col min="15" max="16" width="14" customWidth="1"/>
  </cols>
  <sheetData>
    <row r="1" spans="1:16" ht="34" customHeight="1">
      <c r="A1" s="13" t="s">
        <v>188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</row>
    <row r="2" spans="1:16" ht="26" customHeight="1">
      <c r="A2" s="19" t="s">
        <v>42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</row>
    <row r="3" spans="1:16" ht="36" customHeight="1">
      <c r="A3" s="2" t="s">
        <v>43</v>
      </c>
      <c r="B3" s="2" t="s">
        <v>44</v>
      </c>
      <c r="C3" s="2" t="s">
        <v>45</v>
      </c>
      <c r="D3" s="2" t="s">
        <v>46</v>
      </c>
      <c r="E3" s="2" t="s">
        <v>47</v>
      </c>
      <c r="F3" s="2" t="s">
        <v>48</v>
      </c>
      <c r="G3" s="2" t="s">
        <v>49</v>
      </c>
      <c r="H3" s="2" t="s">
        <v>50</v>
      </c>
      <c r="I3" s="2" t="s">
        <v>51</v>
      </c>
      <c r="J3" s="2" t="s">
        <v>52</v>
      </c>
      <c r="K3" s="2" t="s">
        <v>53</v>
      </c>
      <c r="L3" s="2" t="s">
        <v>54</v>
      </c>
      <c r="M3" s="2" t="s">
        <v>55</v>
      </c>
      <c r="N3" s="2" t="s">
        <v>56</v>
      </c>
      <c r="O3" s="2" t="s">
        <v>57</v>
      </c>
      <c r="P3" s="2" t="s">
        <v>58</v>
      </c>
    </row>
    <row r="4" spans="1:16" ht="127" customHeight="1">
      <c r="A4" s="7" t="s">
        <v>189</v>
      </c>
      <c r="B4" s="7" t="s">
        <v>26</v>
      </c>
      <c r="C4" s="8" t="s">
        <v>190</v>
      </c>
      <c r="D4" s="7" t="s">
        <v>15</v>
      </c>
      <c r="E4" s="7" t="s">
        <v>67</v>
      </c>
      <c r="F4" s="8" t="s">
        <v>191</v>
      </c>
      <c r="G4" s="8" t="s">
        <v>192</v>
      </c>
      <c r="H4" s="8" t="s">
        <v>193</v>
      </c>
      <c r="I4" s="8" t="s">
        <v>253</v>
      </c>
      <c r="J4" s="9" t="s">
        <v>251</v>
      </c>
      <c r="K4" s="9" t="s">
        <v>256</v>
      </c>
      <c r="L4" s="9"/>
      <c r="M4" s="10" t="s">
        <v>273</v>
      </c>
      <c r="N4" s="10"/>
      <c r="O4" s="9"/>
      <c r="P4" s="9"/>
    </row>
    <row r="5" spans="1:16" ht="127" customHeight="1">
      <c r="A5" s="11" t="s">
        <v>194</v>
      </c>
      <c r="B5" s="11" t="s">
        <v>26</v>
      </c>
      <c r="C5" s="12" t="s">
        <v>195</v>
      </c>
      <c r="D5" s="11" t="s">
        <v>15</v>
      </c>
      <c r="E5" s="11" t="s">
        <v>67</v>
      </c>
      <c r="F5" s="12" t="s">
        <v>196</v>
      </c>
      <c r="G5" s="12" t="s">
        <v>197</v>
      </c>
      <c r="H5" s="12" t="s">
        <v>198</v>
      </c>
      <c r="I5" s="12" t="s">
        <v>253</v>
      </c>
      <c r="J5" s="9" t="s">
        <v>251</v>
      </c>
      <c r="K5" s="9" t="s">
        <v>256</v>
      </c>
      <c r="L5" s="9"/>
      <c r="M5" s="10" t="s">
        <v>274</v>
      </c>
      <c r="N5" s="10"/>
      <c r="O5" s="9"/>
      <c r="P5" s="9"/>
    </row>
    <row r="6" spans="1:16" ht="127" customHeight="1">
      <c r="A6" s="7" t="s">
        <v>199</v>
      </c>
      <c r="B6" s="7" t="s">
        <v>26</v>
      </c>
      <c r="C6" s="8" t="s">
        <v>200</v>
      </c>
      <c r="D6" s="7" t="s">
        <v>15</v>
      </c>
      <c r="E6" s="7" t="s">
        <v>137</v>
      </c>
      <c r="F6" s="8" t="s">
        <v>201</v>
      </c>
      <c r="G6" s="8" t="s">
        <v>202</v>
      </c>
      <c r="H6" s="8" t="s">
        <v>203</v>
      </c>
      <c r="I6" s="8" t="s">
        <v>253</v>
      </c>
      <c r="J6" s="9" t="s">
        <v>251</v>
      </c>
      <c r="K6" s="9" t="s">
        <v>255</v>
      </c>
      <c r="L6" s="9"/>
      <c r="M6" s="10" t="s">
        <v>302</v>
      </c>
      <c r="N6" s="10"/>
      <c r="O6" s="9"/>
      <c r="P6" s="9"/>
    </row>
    <row r="7" spans="1:16" ht="127" customHeight="1">
      <c r="A7" s="11" t="s">
        <v>204</v>
      </c>
      <c r="B7" s="11" t="s">
        <v>26</v>
      </c>
      <c r="C7" s="12" t="s">
        <v>205</v>
      </c>
      <c r="D7" s="11" t="s">
        <v>15</v>
      </c>
      <c r="E7" s="11" t="s">
        <v>67</v>
      </c>
      <c r="F7" s="12" t="s">
        <v>206</v>
      </c>
      <c r="G7" s="12" t="s">
        <v>207</v>
      </c>
      <c r="H7" s="12" t="s">
        <v>208</v>
      </c>
      <c r="I7" s="12" t="s">
        <v>253</v>
      </c>
      <c r="J7" s="9" t="s">
        <v>251</v>
      </c>
      <c r="K7" s="9" t="s">
        <v>256</v>
      </c>
      <c r="L7" s="9"/>
      <c r="M7" s="10" t="s">
        <v>303</v>
      </c>
      <c r="N7" s="10"/>
      <c r="O7" s="9"/>
      <c r="P7" s="9"/>
    </row>
  </sheetData>
  <mergeCells count="2">
    <mergeCell ref="A1:P1"/>
    <mergeCell ref="A2:P2"/>
  </mergeCells>
  <phoneticPr fontId="7" type="noConversion"/>
  <conditionalFormatting sqref="D4:D7">
    <cfRule type="expression" dxfId="53" priority="1">
      <formula>$D4="P0"</formula>
    </cfRule>
    <cfRule type="expression" dxfId="52" priority="2">
      <formula>$D4="P1"</formula>
    </cfRule>
  </conditionalFormatting>
  <conditionalFormatting sqref="J4:J7">
    <cfRule type="expression" dxfId="51" priority="3">
      <formula>$J4="通过"</formula>
    </cfRule>
    <cfRule type="expression" dxfId="50" priority="4">
      <formula>$J4="失败"</formula>
    </cfRule>
    <cfRule type="expression" dxfId="49" priority="5">
      <formula>$J4="阻塞"</formula>
    </cfRule>
    <cfRule type="expression" dxfId="48" priority="6">
      <formula>$J4="不适用"</formula>
    </cfRule>
  </conditionalFormatting>
  <conditionalFormatting sqref="K4:K7">
    <cfRule type="expression" dxfId="47" priority="7">
      <formula>$K4="是"</formula>
    </cfRule>
    <cfRule type="expression" dxfId="46" priority="8">
      <formula>$K4="否"</formula>
    </cfRule>
  </conditionalFormatting>
  <conditionalFormatting sqref="L4:L7">
    <cfRule type="expression" dxfId="45" priority="9">
      <formula>$L4="阻塞"</formula>
    </cfRule>
    <cfRule type="expression" dxfId="44" priority="10">
      <formula>$L4="高"</formula>
    </cfRule>
    <cfRule type="expression" dxfId="43" priority="11">
      <formula>$L4="中"</formula>
    </cfRule>
    <cfRule type="expression" dxfId="42" priority="12">
      <formula>$L4="低"</formula>
    </cfRule>
    <cfRule type="expression" dxfId="41" priority="13">
      <formula>$L4="轻微"</formula>
    </cfRule>
  </conditionalFormatting>
  <conditionalFormatting sqref="O4:O7">
    <cfRule type="expression" dxfId="40" priority="14">
      <formula>$O4="已完成"</formula>
    </cfRule>
    <cfRule type="expression" dxfId="39" priority="15">
      <formula>$O4="待讨论"</formula>
    </cfRule>
    <cfRule type="expression" dxfId="38" priority="16">
      <formula>$O4="暂不修复"</formula>
    </cfRule>
  </conditionalFormatting>
  <conditionalFormatting sqref="P4:P7">
    <cfRule type="expression" dxfId="37" priority="17">
      <formula>$P4="通过"</formula>
    </cfRule>
    <cfRule type="expression" dxfId="36" priority="18">
      <formula>$P4="不通过"</formula>
    </cfRule>
  </conditionalFormatting>
  <dataValidations count="7">
    <dataValidation type="list" allowBlank="1" errorTitle="输入无效" error="请选择下拉列表中的值" promptTitle="可选值" prompt="请从列表中选择" sqref="D4:D7" xr:uid="{00000000-0002-0000-0600-000000000000}">
      <formula1>"P0,P1,P2,P3"</formula1>
    </dataValidation>
    <dataValidation type="list" allowBlank="1" errorTitle="输入无效" error="请选择下拉列表中的值" promptTitle="可选值" prompt="请从列表中选择" sqref="E4:E7" xr:uid="{00000000-0002-0000-0600-000001000000}">
      <formula1>"功能,流程,校验,权限,安全,异常"</formula1>
    </dataValidation>
    <dataValidation type="list" allowBlank="1" errorTitle="输入无效" error="请选择下拉列表中的值" promptTitle="可选值" prompt="请从列表中选择" sqref="J4:J7" xr:uid="{00000000-0002-0000-0600-000002000000}">
      <formula1>"未执行,通过,失败,阻塞,不适用"</formula1>
    </dataValidation>
    <dataValidation type="list" allowBlank="1" errorTitle="输入无效" error="请选择下拉列表中的值" promptTitle="可选值" prompt="请从列表中选择" sqref="K4:K7" xr:uid="{00000000-0002-0000-0600-000003000000}">
      <formula1>"是,否"</formula1>
    </dataValidation>
    <dataValidation type="list" allowBlank="1" errorTitle="输入无效" error="请选择下拉列表中的值" promptTitle="可选值" prompt="请从列表中选择" sqref="L4:L7" xr:uid="{00000000-0002-0000-0600-000004000000}">
      <formula1>"阻塞,高,中,低,轻微"</formula1>
    </dataValidation>
    <dataValidation type="list" allowBlank="1" errorTitle="输入无效" error="请选择下拉列表中的值" promptTitle="可选值" prompt="请从列表中选择" sqref="O4:O7" xr:uid="{00000000-0002-0000-0600-000005000000}">
      <formula1>"已完成,待讨论,暂不修复"</formula1>
    </dataValidation>
    <dataValidation type="list" allowBlank="1" errorTitle="输入无效" error="请选择下拉列表中的值" promptTitle="可选值" prompt="请从列表中选择" sqref="P4:P7" xr:uid="{00000000-0002-0000-0600-000006000000}">
      <formula1>"通过,不通过"</formula1>
    </dataValidation>
  </dataValidations>
  <pageMargins left="0.75" right="0.75" top="1" bottom="1" header="0.5" footer="0.5"/>
  <pageSetup fitToHeight="0"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P8"/>
  <sheetViews>
    <sheetView showGridLines="0" workbookViewId="0">
      <pane xSplit="5" ySplit="3" topLeftCell="F4" activePane="bottomRight" state="frozen"/>
      <selection pane="topRight"/>
      <selection pane="bottomLeft"/>
      <selection pane="bottomRight"/>
    </sheetView>
  </sheetViews>
  <sheetFormatPr defaultRowHeight="14"/>
  <cols>
    <col min="1" max="1" width="16" customWidth="1"/>
    <col min="2" max="2" width="18" customWidth="1"/>
    <col min="3" max="3" width="34" customWidth="1"/>
    <col min="4" max="4" width="10" customWidth="1"/>
    <col min="5" max="5" width="12" customWidth="1"/>
    <col min="6" max="7" width="34" customWidth="1"/>
    <col min="8" max="8" width="54" customWidth="1"/>
    <col min="9" max="9" width="56" customWidth="1"/>
    <col min="10" max="12" width="12" customWidth="1"/>
    <col min="13" max="13" width="30" customWidth="1"/>
    <col min="14" max="14" width="28" customWidth="1"/>
    <col min="15" max="16" width="14" customWidth="1"/>
  </cols>
  <sheetData>
    <row r="1" spans="1:16" ht="34" customHeight="1">
      <c r="A1" s="13" t="s">
        <v>209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</row>
    <row r="2" spans="1:16" ht="26" customHeight="1">
      <c r="A2" s="19" t="s">
        <v>42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</row>
    <row r="3" spans="1:16" ht="36" customHeight="1">
      <c r="A3" s="2" t="s">
        <v>43</v>
      </c>
      <c r="B3" s="2" t="s">
        <v>44</v>
      </c>
      <c r="C3" s="2" t="s">
        <v>45</v>
      </c>
      <c r="D3" s="2" t="s">
        <v>46</v>
      </c>
      <c r="E3" s="2" t="s">
        <v>47</v>
      </c>
      <c r="F3" s="2" t="s">
        <v>48</v>
      </c>
      <c r="G3" s="2" t="s">
        <v>49</v>
      </c>
      <c r="H3" s="2" t="s">
        <v>50</v>
      </c>
      <c r="I3" s="2" t="s">
        <v>51</v>
      </c>
      <c r="J3" s="2" t="s">
        <v>52</v>
      </c>
      <c r="K3" s="2" t="s">
        <v>53</v>
      </c>
      <c r="L3" s="2" t="s">
        <v>54</v>
      </c>
      <c r="M3" s="2" t="s">
        <v>55</v>
      </c>
      <c r="N3" s="2" t="s">
        <v>56</v>
      </c>
      <c r="O3" s="2" t="s">
        <v>57</v>
      </c>
      <c r="P3" s="2" t="s">
        <v>58</v>
      </c>
    </row>
    <row r="4" spans="1:16" ht="127" customHeight="1">
      <c r="A4" s="7" t="s">
        <v>210</v>
      </c>
      <c r="B4" s="7" t="s">
        <v>27</v>
      </c>
      <c r="C4" s="8" t="s">
        <v>211</v>
      </c>
      <c r="D4" s="7" t="s">
        <v>15</v>
      </c>
      <c r="E4" s="7" t="s">
        <v>67</v>
      </c>
      <c r="F4" s="8" t="s">
        <v>212</v>
      </c>
      <c r="G4" s="8" t="s">
        <v>213</v>
      </c>
      <c r="H4" s="8" t="s">
        <v>214</v>
      </c>
      <c r="I4" s="8" t="s">
        <v>251</v>
      </c>
      <c r="J4" s="9" t="s">
        <v>251</v>
      </c>
      <c r="K4" s="9" t="s">
        <v>256</v>
      </c>
      <c r="L4" s="9"/>
      <c r="M4" s="10" t="s">
        <v>257</v>
      </c>
      <c r="N4" s="10"/>
      <c r="O4" s="9"/>
      <c r="P4" s="9"/>
    </row>
    <row r="5" spans="1:16" ht="127" customHeight="1">
      <c r="A5" s="11" t="s">
        <v>215</v>
      </c>
      <c r="B5" s="11" t="s">
        <v>27</v>
      </c>
      <c r="C5" s="12" t="s">
        <v>216</v>
      </c>
      <c r="D5" s="11" t="s">
        <v>15</v>
      </c>
      <c r="E5" s="11" t="s">
        <v>137</v>
      </c>
      <c r="F5" s="12" t="s">
        <v>217</v>
      </c>
      <c r="G5" s="12" t="s">
        <v>218</v>
      </c>
      <c r="H5" s="12" t="s">
        <v>219</v>
      </c>
      <c r="I5" s="12" t="s">
        <v>253</v>
      </c>
      <c r="J5" s="9" t="s">
        <v>251</v>
      </c>
      <c r="K5" s="9" t="s">
        <v>256</v>
      </c>
      <c r="L5" s="9"/>
      <c r="M5" s="10" t="s">
        <v>258</v>
      </c>
      <c r="N5" s="10"/>
      <c r="O5" s="9"/>
      <c r="P5" s="9"/>
    </row>
    <row r="6" spans="1:16" ht="127" customHeight="1">
      <c r="A6" s="7" t="s">
        <v>220</v>
      </c>
      <c r="B6" s="7" t="s">
        <v>27</v>
      </c>
      <c r="C6" s="8" t="s">
        <v>221</v>
      </c>
      <c r="D6" s="7" t="s">
        <v>15</v>
      </c>
      <c r="E6" s="7" t="s">
        <v>67</v>
      </c>
      <c r="F6" s="8" t="s">
        <v>222</v>
      </c>
      <c r="G6" s="8" t="s">
        <v>223</v>
      </c>
      <c r="H6" s="8" t="s">
        <v>224</v>
      </c>
      <c r="I6" s="8" t="s">
        <v>253</v>
      </c>
      <c r="J6" s="9" t="s">
        <v>251</v>
      </c>
      <c r="K6" s="9" t="s">
        <v>255</v>
      </c>
      <c r="L6" s="9"/>
      <c r="M6" s="10" t="s">
        <v>288</v>
      </c>
      <c r="N6" s="10"/>
      <c r="O6" s="9"/>
      <c r="P6" s="9"/>
    </row>
    <row r="7" spans="1:16" ht="127" customHeight="1">
      <c r="A7" s="11" t="s">
        <v>225</v>
      </c>
      <c r="B7" s="11" t="s">
        <v>27</v>
      </c>
      <c r="C7" s="12" t="s">
        <v>226</v>
      </c>
      <c r="D7" s="11" t="s">
        <v>15</v>
      </c>
      <c r="E7" s="11" t="s">
        <v>67</v>
      </c>
      <c r="F7" s="12" t="s">
        <v>227</v>
      </c>
      <c r="G7" s="12" t="s">
        <v>228</v>
      </c>
      <c r="H7" s="12" t="s">
        <v>229</v>
      </c>
      <c r="I7" s="12" t="s">
        <v>253</v>
      </c>
      <c r="J7" s="9" t="s">
        <v>251</v>
      </c>
      <c r="K7" s="9" t="s">
        <v>255</v>
      </c>
      <c r="L7" s="9"/>
      <c r="M7" s="10" t="s">
        <v>289</v>
      </c>
      <c r="N7" s="10"/>
      <c r="O7" s="9"/>
      <c r="P7" s="9"/>
    </row>
    <row r="8" spans="1:16" ht="127" customHeight="1">
      <c r="A8" s="7" t="s">
        <v>230</v>
      </c>
      <c r="B8" s="7" t="s">
        <v>27</v>
      </c>
      <c r="C8" s="8" t="s">
        <v>231</v>
      </c>
      <c r="D8" s="7" t="s">
        <v>15</v>
      </c>
      <c r="E8" s="7" t="s">
        <v>67</v>
      </c>
      <c r="F8" s="8" t="s">
        <v>232</v>
      </c>
      <c r="G8" s="8" t="s">
        <v>233</v>
      </c>
      <c r="H8" s="8" t="s">
        <v>234</v>
      </c>
      <c r="I8" s="8" t="s">
        <v>253</v>
      </c>
      <c r="J8" s="9" t="s">
        <v>251</v>
      </c>
      <c r="K8" s="9" t="s">
        <v>255</v>
      </c>
      <c r="L8" s="9"/>
      <c r="M8" s="10" t="s">
        <v>259</v>
      </c>
      <c r="N8" s="10"/>
      <c r="O8" s="9"/>
      <c r="P8" s="9"/>
    </row>
  </sheetData>
  <mergeCells count="2">
    <mergeCell ref="A1:P1"/>
    <mergeCell ref="A2:P2"/>
  </mergeCells>
  <phoneticPr fontId="7" type="noConversion"/>
  <conditionalFormatting sqref="D4:D8">
    <cfRule type="expression" dxfId="35" priority="1">
      <formula>$D4="P0"</formula>
    </cfRule>
    <cfRule type="expression" dxfId="34" priority="2">
      <formula>$D4="P1"</formula>
    </cfRule>
  </conditionalFormatting>
  <conditionalFormatting sqref="J4:J8">
    <cfRule type="expression" dxfId="33" priority="3">
      <formula>$J4="通过"</formula>
    </cfRule>
    <cfRule type="expression" dxfId="32" priority="4">
      <formula>$J4="失败"</formula>
    </cfRule>
    <cfRule type="expression" dxfId="31" priority="5">
      <formula>$J4="阻塞"</formula>
    </cfRule>
    <cfRule type="expression" dxfId="30" priority="6">
      <formula>$J4="不适用"</formula>
    </cfRule>
  </conditionalFormatting>
  <conditionalFormatting sqref="K4:K8">
    <cfRule type="expression" dxfId="29" priority="7">
      <formula>$K4="是"</formula>
    </cfRule>
    <cfRule type="expression" dxfId="28" priority="8">
      <formula>$K4="否"</formula>
    </cfRule>
  </conditionalFormatting>
  <conditionalFormatting sqref="L4:L8">
    <cfRule type="expression" dxfId="27" priority="9">
      <formula>$L4="阻塞"</formula>
    </cfRule>
    <cfRule type="expression" dxfId="26" priority="10">
      <formula>$L4="高"</formula>
    </cfRule>
    <cfRule type="expression" dxfId="25" priority="11">
      <formula>$L4="中"</formula>
    </cfRule>
    <cfRule type="expression" dxfId="24" priority="12">
      <formula>$L4="低"</formula>
    </cfRule>
    <cfRule type="expression" dxfId="23" priority="13">
      <formula>$L4="轻微"</formula>
    </cfRule>
  </conditionalFormatting>
  <conditionalFormatting sqref="O4:O8">
    <cfRule type="expression" dxfId="22" priority="14">
      <formula>$O4="已完成"</formula>
    </cfRule>
    <cfRule type="expression" dxfId="21" priority="15">
      <formula>$O4="待讨论"</formula>
    </cfRule>
    <cfRule type="expression" dxfId="20" priority="16">
      <formula>$O4="暂不修复"</formula>
    </cfRule>
  </conditionalFormatting>
  <conditionalFormatting sqref="P4:P8">
    <cfRule type="expression" dxfId="19" priority="17">
      <formula>$P4="通过"</formula>
    </cfRule>
    <cfRule type="expression" dxfId="18" priority="18">
      <formula>$P4="不通过"</formula>
    </cfRule>
  </conditionalFormatting>
  <dataValidations count="7">
    <dataValidation type="list" allowBlank="1" errorTitle="输入无效" error="请选择下拉列表中的值" promptTitle="可选值" prompt="请从列表中选择" sqref="D4:D8" xr:uid="{00000000-0002-0000-0700-000000000000}">
      <formula1>"P0,P1,P2,P3"</formula1>
    </dataValidation>
    <dataValidation type="list" allowBlank="1" errorTitle="输入无效" error="请选择下拉列表中的值" promptTitle="可选值" prompt="请从列表中选择" sqref="E4:E8" xr:uid="{00000000-0002-0000-0700-000001000000}">
      <formula1>"功能,流程,校验,权限,安全,异常"</formula1>
    </dataValidation>
    <dataValidation type="list" allowBlank="1" errorTitle="输入无效" error="请选择下拉列表中的值" promptTitle="可选值" prompt="请从列表中选择" sqref="J4:J8" xr:uid="{00000000-0002-0000-0700-000002000000}">
      <formula1>"未执行,通过,失败,阻塞,不适用"</formula1>
    </dataValidation>
    <dataValidation type="list" allowBlank="1" errorTitle="输入无效" error="请选择下拉列表中的值" promptTitle="可选值" prompt="请从列表中选择" sqref="K4:K8" xr:uid="{00000000-0002-0000-0700-000003000000}">
      <formula1>"是,否"</formula1>
    </dataValidation>
    <dataValidation type="list" allowBlank="1" errorTitle="输入无效" error="请选择下拉列表中的值" promptTitle="可选值" prompt="请从列表中选择" sqref="L4:L8" xr:uid="{00000000-0002-0000-0700-000004000000}">
      <formula1>"阻塞,高,中,低,轻微"</formula1>
    </dataValidation>
    <dataValidation type="list" allowBlank="1" errorTitle="输入无效" error="请选择下拉列表中的值" promptTitle="可选值" prompt="请从列表中选择" sqref="O4:O8" xr:uid="{00000000-0002-0000-0700-000005000000}">
      <formula1>"已完成,待讨论,暂不修复"</formula1>
    </dataValidation>
    <dataValidation type="list" allowBlank="1" errorTitle="输入无效" error="请选择下拉列表中的值" promptTitle="可选值" prompt="请从列表中选择" sqref="P4:P8" xr:uid="{00000000-0002-0000-0700-000006000000}">
      <formula1>"通过,不通过"</formula1>
    </dataValidation>
  </dataValidations>
  <pageMargins left="0.75" right="0.75" top="1" bottom="1" header="0.5" footer="0.5"/>
  <pageSetup fitToHeight="0" orientation="landscape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P6"/>
  <sheetViews>
    <sheetView showGridLines="0" workbookViewId="0">
      <pane xSplit="5" ySplit="3" topLeftCell="F4" activePane="bottomRight" state="frozen"/>
      <selection pane="topRight"/>
      <selection pane="bottomLeft"/>
      <selection pane="bottomRight"/>
    </sheetView>
  </sheetViews>
  <sheetFormatPr defaultRowHeight="14"/>
  <cols>
    <col min="1" max="1" width="16" customWidth="1"/>
    <col min="2" max="2" width="18" customWidth="1"/>
    <col min="3" max="3" width="34" customWidth="1"/>
    <col min="4" max="4" width="10" customWidth="1"/>
    <col min="5" max="5" width="12" customWidth="1"/>
    <col min="6" max="7" width="34" customWidth="1"/>
    <col min="8" max="8" width="54" customWidth="1"/>
    <col min="9" max="9" width="56" customWidth="1"/>
    <col min="10" max="12" width="12" customWidth="1"/>
    <col min="13" max="13" width="30" customWidth="1"/>
    <col min="14" max="14" width="28" customWidth="1"/>
    <col min="15" max="16" width="14" customWidth="1"/>
  </cols>
  <sheetData>
    <row r="1" spans="1:16" ht="34" customHeight="1">
      <c r="A1" s="13" t="s">
        <v>235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</row>
    <row r="2" spans="1:16" ht="26" customHeight="1">
      <c r="A2" s="19" t="s">
        <v>42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</row>
    <row r="3" spans="1:16" ht="36" customHeight="1">
      <c r="A3" s="2" t="s">
        <v>43</v>
      </c>
      <c r="B3" s="2" t="s">
        <v>44</v>
      </c>
      <c r="C3" s="2" t="s">
        <v>45</v>
      </c>
      <c r="D3" s="2" t="s">
        <v>46</v>
      </c>
      <c r="E3" s="2" t="s">
        <v>47</v>
      </c>
      <c r="F3" s="2" t="s">
        <v>48</v>
      </c>
      <c r="G3" s="2" t="s">
        <v>49</v>
      </c>
      <c r="H3" s="2" t="s">
        <v>50</v>
      </c>
      <c r="I3" s="2" t="s">
        <v>51</v>
      </c>
      <c r="J3" s="2" t="s">
        <v>52</v>
      </c>
      <c r="K3" s="2" t="s">
        <v>53</v>
      </c>
      <c r="L3" s="2" t="s">
        <v>54</v>
      </c>
      <c r="M3" s="2" t="s">
        <v>55</v>
      </c>
      <c r="N3" s="2" t="s">
        <v>56</v>
      </c>
      <c r="O3" s="2" t="s">
        <v>57</v>
      </c>
      <c r="P3" s="2" t="s">
        <v>58</v>
      </c>
    </row>
    <row r="4" spans="1:16" ht="127" customHeight="1">
      <c r="A4" s="7" t="s">
        <v>236</v>
      </c>
      <c r="B4" s="7" t="s">
        <v>28</v>
      </c>
      <c r="C4" s="8" t="s">
        <v>237</v>
      </c>
      <c r="D4" s="7" t="s">
        <v>15</v>
      </c>
      <c r="E4" s="7" t="s">
        <v>137</v>
      </c>
      <c r="F4" s="8" t="s">
        <v>238</v>
      </c>
      <c r="G4" s="8" t="s">
        <v>239</v>
      </c>
      <c r="H4" s="8" t="s">
        <v>240</v>
      </c>
      <c r="I4" s="8" t="s">
        <v>251</v>
      </c>
      <c r="J4" s="9" t="s">
        <v>251</v>
      </c>
      <c r="K4" s="9" t="s">
        <v>256</v>
      </c>
      <c r="L4" s="9"/>
      <c r="M4" s="10" t="s">
        <v>279</v>
      </c>
      <c r="N4" s="10"/>
      <c r="O4" s="9"/>
      <c r="P4" s="9"/>
    </row>
    <row r="5" spans="1:16" ht="127" customHeight="1">
      <c r="A5" s="11" t="s">
        <v>241</v>
      </c>
      <c r="B5" s="11" t="s">
        <v>28</v>
      </c>
      <c r="C5" s="12" t="s">
        <v>242</v>
      </c>
      <c r="D5" s="11" t="s">
        <v>15</v>
      </c>
      <c r="E5" s="11" t="s">
        <v>137</v>
      </c>
      <c r="F5" s="12" t="s">
        <v>243</v>
      </c>
      <c r="G5" s="12" t="s">
        <v>244</v>
      </c>
      <c r="H5" s="12" t="s">
        <v>245</v>
      </c>
      <c r="I5" s="12" t="s">
        <v>253</v>
      </c>
      <c r="J5" s="9" t="s">
        <v>251</v>
      </c>
      <c r="K5" s="9" t="s">
        <v>255</v>
      </c>
      <c r="L5" s="9"/>
      <c r="M5" s="10" t="s">
        <v>280</v>
      </c>
      <c r="N5" s="10"/>
      <c r="O5" s="9"/>
      <c r="P5" s="9"/>
    </row>
    <row r="6" spans="1:16" ht="127" customHeight="1">
      <c r="A6" s="7" t="s">
        <v>246</v>
      </c>
      <c r="B6" s="7" t="s">
        <v>28</v>
      </c>
      <c r="C6" s="8" t="s">
        <v>247</v>
      </c>
      <c r="D6" s="7" t="s">
        <v>15</v>
      </c>
      <c r="E6" s="7" t="s">
        <v>61</v>
      </c>
      <c r="F6" s="8" t="s">
        <v>248</v>
      </c>
      <c r="G6" s="8" t="s">
        <v>249</v>
      </c>
      <c r="H6" s="8" t="s">
        <v>250</v>
      </c>
      <c r="I6" s="8" t="s">
        <v>251</v>
      </c>
      <c r="J6" s="9" t="s">
        <v>251</v>
      </c>
      <c r="K6" s="9" t="s">
        <v>252</v>
      </c>
      <c r="L6" s="9" t="s">
        <v>254</v>
      </c>
      <c r="M6" s="10" t="s">
        <v>281</v>
      </c>
      <c r="N6" s="10" t="s">
        <v>287</v>
      </c>
      <c r="O6" s="9"/>
      <c r="P6" s="9"/>
    </row>
  </sheetData>
  <mergeCells count="2">
    <mergeCell ref="A1:P1"/>
    <mergeCell ref="A2:P2"/>
  </mergeCells>
  <phoneticPr fontId="7" type="noConversion"/>
  <conditionalFormatting sqref="D4:D6">
    <cfRule type="expression" dxfId="17" priority="1">
      <formula>$D4="P0"</formula>
    </cfRule>
    <cfRule type="expression" dxfId="16" priority="2">
      <formula>$D4="P1"</formula>
    </cfRule>
  </conditionalFormatting>
  <conditionalFormatting sqref="J4:J6">
    <cfRule type="expression" dxfId="15" priority="3">
      <formula>$J4="通过"</formula>
    </cfRule>
    <cfRule type="expression" dxfId="14" priority="4">
      <formula>$J4="失败"</formula>
    </cfRule>
    <cfRule type="expression" dxfId="13" priority="5">
      <formula>$J4="阻塞"</formula>
    </cfRule>
    <cfRule type="expression" dxfId="12" priority="6">
      <formula>$J4="不适用"</formula>
    </cfRule>
  </conditionalFormatting>
  <conditionalFormatting sqref="K4:K6">
    <cfRule type="expression" dxfId="11" priority="7">
      <formula>$K4="是"</formula>
    </cfRule>
    <cfRule type="expression" dxfId="10" priority="8">
      <formula>$K4="否"</formula>
    </cfRule>
  </conditionalFormatting>
  <conditionalFormatting sqref="L4:L6">
    <cfRule type="expression" dxfId="9" priority="9">
      <formula>$L4="阻塞"</formula>
    </cfRule>
    <cfRule type="expression" dxfId="8" priority="10">
      <formula>$L4="高"</formula>
    </cfRule>
    <cfRule type="expression" dxfId="7" priority="11">
      <formula>$L4="中"</formula>
    </cfRule>
    <cfRule type="expression" dxfId="6" priority="12">
      <formula>$L4="低"</formula>
    </cfRule>
    <cfRule type="expression" dxfId="5" priority="13">
      <formula>$L4="轻微"</formula>
    </cfRule>
  </conditionalFormatting>
  <conditionalFormatting sqref="O4:O6">
    <cfRule type="expression" dxfId="4" priority="14">
      <formula>$O4="已完成"</formula>
    </cfRule>
    <cfRule type="expression" dxfId="3" priority="15">
      <formula>$O4="待讨论"</formula>
    </cfRule>
    <cfRule type="expression" dxfId="2" priority="16">
      <formula>$O4="暂不修复"</formula>
    </cfRule>
  </conditionalFormatting>
  <conditionalFormatting sqref="P4:P6">
    <cfRule type="expression" dxfId="1" priority="17">
      <formula>$P4="通过"</formula>
    </cfRule>
    <cfRule type="expression" dxfId="0" priority="18">
      <formula>$P4="不通过"</formula>
    </cfRule>
  </conditionalFormatting>
  <dataValidations count="7">
    <dataValidation type="list" allowBlank="1" errorTitle="输入无效" error="请选择下拉列表中的值" promptTitle="可选值" prompt="请从列表中选择" sqref="D4:D6" xr:uid="{00000000-0002-0000-0800-000000000000}">
      <formula1>"P0,P1,P2,P3"</formula1>
    </dataValidation>
    <dataValidation type="list" allowBlank="1" errorTitle="输入无效" error="请选择下拉列表中的值" promptTitle="可选值" prompt="请从列表中选择" sqref="E4:E6" xr:uid="{00000000-0002-0000-0800-000001000000}">
      <formula1>"功能,流程,校验,权限,安全,异常"</formula1>
    </dataValidation>
    <dataValidation type="list" allowBlank="1" errorTitle="输入无效" error="请选择下拉列表中的值" promptTitle="可选值" prompt="请从列表中选择" sqref="J4:J6" xr:uid="{00000000-0002-0000-0800-000002000000}">
      <formula1>"未执行,通过,失败,阻塞,不适用"</formula1>
    </dataValidation>
    <dataValidation type="list" allowBlank="1" errorTitle="输入无效" error="请选择下拉列表中的值" promptTitle="可选值" prompt="请从列表中选择" sqref="K4:K6" xr:uid="{00000000-0002-0000-0800-000003000000}">
      <formula1>"是,否"</formula1>
    </dataValidation>
    <dataValidation type="list" allowBlank="1" errorTitle="输入无效" error="请选择下拉列表中的值" promptTitle="可选值" prompt="请从列表中选择" sqref="L4:L6" xr:uid="{00000000-0002-0000-0800-000004000000}">
      <formula1>"阻塞,高,中,低,轻微"</formula1>
    </dataValidation>
    <dataValidation type="list" allowBlank="1" errorTitle="输入无效" error="请选择下拉列表中的值" promptTitle="可选值" prompt="请从列表中选择" sqref="O4:O6" xr:uid="{00000000-0002-0000-0800-000005000000}">
      <formula1>"已完成,待讨论,暂不修复"</formula1>
    </dataValidation>
    <dataValidation type="list" allowBlank="1" errorTitle="输入无效" error="请选择下拉列表中的值" promptTitle="可选值" prompt="请从列表中选择" sqref="P4:P6" xr:uid="{00000000-0002-0000-0800-000006000000}">
      <formula1>"通过,不通过"</formula1>
    </dataValidation>
  </dataValidations>
  <pageMargins left="0.75" right="0.75" top="1" bottom="1" header="0.5" footer="0.5"/>
  <pageSetup fitToHeight="0"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测试说明</vt:lpstr>
      <vt:lpstr>入口与列表</vt:lpstr>
      <vt:lpstr>创建与编辑</vt:lpstr>
      <vt:lpstr>组卷规则</vt:lpstr>
      <vt:lpstr>进行中与恢复</vt:lpstr>
      <vt:lpstr>额度与权益</vt:lpstr>
      <vt:lpstr>答题与交卷</vt:lpstr>
      <vt:lpstr>统计与历史</vt:lpstr>
      <vt:lpstr>异常与后台联动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datagrand</cp:lastModifiedBy>
  <dcterms:created xsi:type="dcterms:W3CDTF">2026-08-09T17:10:10Z</dcterms:created>
  <dcterms:modified xsi:type="dcterms:W3CDTF">2026-08-11T20:02:01Z</dcterms:modified>
</cp:coreProperties>
</file>