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入口与考试范围" sheetId="2" state="visible" r:id="rId2"/>
    <sheet xmlns:r="http://schemas.openxmlformats.org/officeDocument/2006/relationships" name="考纲与题量" sheetId="3" state="visible" r:id="rId3"/>
    <sheet xmlns:r="http://schemas.openxmlformats.org/officeDocument/2006/relationships" name="开始与额度" sheetId="4" state="visible" r:id="rId4"/>
    <sheet xmlns:r="http://schemas.openxmlformats.org/officeDocument/2006/relationships" name="答题与恢复" sheetId="5" state="visible" r:id="rId5"/>
    <sheet xmlns:r="http://schemas.openxmlformats.org/officeDocument/2006/relationships" name="交卷与联动" sheetId="6" state="visible" r:id="rId6"/>
    <sheet xmlns:r="http://schemas.openxmlformats.org/officeDocument/2006/relationships" name="练习记录与入口" sheetId="7" state="visible" r:id="rId7"/>
    <sheet xmlns:r="http://schemas.openxmlformats.org/officeDocument/2006/relationships" name="内容与权限变化" sheetId="8" state="visible" r:id="rId8"/>
    <sheet xmlns:r="http://schemas.openxmlformats.org/officeDocument/2006/relationships" name="异常恢复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375A7F"/>
      <sz val="10"/>
    </font>
    <font>
      <name val="Microsoft YaHei"/>
      <b val="1"/>
      <color rgb="00FFFFFF"/>
      <sz val="10"/>
    </font>
    <font>
      <name val="Microsoft YaHei"/>
      <color rgb="00243447"/>
      <sz val="10"/>
    </font>
    <font>
      <name val="Microsoft YaHei"/>
      <b val="1"/>
      <color rgb="00FFFFFF"/>
      <sz val="11"/>
    </font>
    <font>
      <name val="Microsoft YaHei"/>
      <b val="1"/>
      <color rgb="00243447"/>
      <sz val="10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DCE6F1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2F6FA"/>
      </patternFill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6E4F0"/>
      </patternFill>
    </fill>
    <fill>
      <patternFill patternType="solid">
        <fgColor rgb="00F7FAFC"/>
      </patternFill>
    </fill>
  </fills>
  <borders count="3">
    <border>
      <left/>
      <right/>
      <top/>
      <bottom/>
      <diagonal/>
    </border>
    <border>
      <bottom style="thin">
        <color rgb="00C9D4E0"/>
      </bottom>
    </border>
    <border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165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8">
    <dxf>
      <font>
        <name val="Microsoft YaHei"/>
        <b val="1"/>
        <color rgb="009C0006"/>
        <sz val="10"/>
      </font>
      <fill>
        <patternFill patternType="solid">
          <fgColor rgb="00F4CCCC"/>
        </patternFill>
      </fill>
    </dxf>
    <dxf>
      <font>
        <name val="Microsoft YaHei"/>
        <b val="1"/>
        <color rgb="009C5700"/>
        <sz val="10"/>
      </font>
      <fill>
        <patternFill patternType="solid">
          <fgColor rgb="00FCE5CD"/>
        </patternFill>
      </fill>
    </dxf>
    <dxf>
      <font>
        <name val="Microsoft YaHei"/>
        <b val="1"/>
        <color rgb="00274E13"/>
        <sz val="10"/>
      </font>
      <fill>
        <patternFill patternType="solid">
          <fgColor rgb="00D9EAD3"/>
        </patternFill>
      </fill>
    </dxf>
    <dxf>
      <font>
        <name val="Microsoft YaHei"/>
        <b val="1"/>
        <color rgb="005B0F00"/>
        <sz val="10"/>
      </font>
      <fill>
        <patternFill patternType="solid">
          <fgColor rgb="00EADCF8"/>
        </patternFill>
      </fill>
    </dxf>
    <dxf>
      <font>
        <name val="Microsoft YaHei"/>
        <b val="1"/>
        <color rgb="00666666"/>
        <sz val="10"/>
      </font>
      <fill>
        <patternFill patternType="solid">
          <fgColor rgb="00E7E6E6"/>
        </patternFill>
      </fill>
    </dxf>
    <dxf>
      <font>
        <name val="Microsoft YaHei"/>
        <b val="1"/>
        <color rgb="00FFFFFF"/>
        <sz val="10"/>
      </font>
      <fill>
        <patternFill patternType="solid">
          <fgColor rgb="00990000"/>
        </patternFill>
      </fill>
    </dxf>
    <dxf>
      <font>
        <name val="Microsoft YaHei"/>
        <b val="1"/>
        <color rgb="007F6000"/>
        <sz val="10"/>
      </font>
      <fill>
        <patternFill patternType="solid">
          <fgColor rgb="00FFF2CC"/>
        </patternFill>
      </fill>
    </dxf>
    <dxf>
      <font>
        <name val="Microsoft YaHei"/>
        <b val="1"/>
        <color rgb="00375623"/>
        <sz val="1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portManualSummaryTable" displayName="ReportManualSummaryTable" ref="A9:I18" headerRowCount="1">
  <autoFilter ref="A9:I18"/>
  <tableColumns count="9">
    <tableColumn id="1" name="模块"/>
    <tableColumn id="2" name="用例数"/>
    <tableColumn id="3" name="P0"/>
    <tableColumn id="4" name="未执行"/>
    <tableColumn id="5" name="是否通过-是"/>
    <tableColumn id="6" name="是否通过-否"/>
    <tableColumn id="7" name="严重缺陷"/>
    <tableColumn id="8" name="已完成修复"/>
    <tableColumn id="9" name="回归通过"/>
  </tableColumns>
  <tableStyleInfo name="TableStyleMedium2" showRowStripes="1"/>
</table>
</file>

<file path=xl/tables/table2.xml><?xml version="1.0" encoding="utf-8"?>
<table xmlns="http://schemas.openxmlformats.org/spreadsheetml/2006/main" id="2" name="ReportManualCases01" displayName="ReportManualCases01" ref="A3:P7" headerRowCount="1">
  <autoFilter ref="A3:P7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portManualCases02" displayName="ReportManualCases02" ref="A3:P7" headerRowCount="1">
  <autoFilter ref="A3:P7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portManualCases03" displayName="ReportManualCases03" ref="A3:P9" headerRowCount="1">
  <autoFilter ref="A3:P9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portManualCases04" displayName="ReportManualCases04" ref="A3:P8" headerRowCount="1">
  <autoFilter ref="A3:P8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portManualCases05" displayName="ReportManualCases05" ref="A3:P8" headerRowCount="1">
  <autoFilter ref="A3:P8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portManualCases06" displayName="ReportManualCases06" ref="A3:P8" headerRowCount="1">
  <autoFilter ref="A3:P8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portManualCases07" displayName="ReportManualCases07" ref="A3:P6" headerRowCount="1">
  <autoFilter ref="A3:P6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portManualCases08" displayName="ReportManualCases08" ref="A3:P6" headerRowCount="1">
  <autoFilter ref="A3:P6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8" customWidth="1" min="4" max="4"/>
    <col width="24" customWidth="1" min="5" max="5"/>
    <col width="18" customWidth="1" min="6" max="6"/>
    <col width="18" customWidth="1" min="7" max="7"/>
    <col width="22" customWidth="1" min="8" max="8"/>
    <col width="18" customWidth="1" min="9" max="9"/>
  </cols>
  <sheetData>
    <row r="1" ht="38" customHeight="1">
      <c r="A1" s="1" t="inlineStr">
        <is>
          <t>4.14 试题库人工测试用例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2" t="inlineStr">
        <is>
          <t>本轮人工P0：覆盖学生选考点、题量确认、额度、进行中恢复、交卷、练习记录、错题联动和内容状态变化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30" customHeight="1">
      <c r="A4" s="3" t="inlineStr">
        <is>
          <t>文档版本</t>
        </is>
      </c>
      <c r="B4" s="4" t="inlineStr">
        <is>
          <t>当前版（2026-08-10）</t>
        </is>
      </c>
      <c r="C4" s="4" t="n"/>
      <c r="D4" s="3" t="inlineStr">
        <is>
          <t>生成日期</t>
        </is>
      </c>
      <c r="E4" s="5" t="n">
        <v>46244</v>
      </c>
      <c r="F4" s="4" t="n"/>
      <c r="G4" s="3" t="inlineStr">
        <is>
          <t>用例总数</t>
        </is>
      </c>
      <c r="H4" s="4">
        <f>SUM(B10:B17)</f>
        <v/>
      </c>
      <c r="I4" s="4" t="n"/>
    </row>
    <row r="5" ht="36" customHeight="1">
      <c r="A5" s="3" t="inlineStr">
        <is>
          <t>需求来源</t>
        </is>
      </c>
      <c r="B5" s="4" t="inlineStr">
        <is>
          <t>文档/4-需求文档/4.14 试题库.md</t>
        </is>
      </c>
      <c r="C5" s="4" t="n"/>
      <c r="D5" s="4" t="n"/>
      <c r="E5" s="4" t="n"/>
      <c r="F5" s="4" t="n"/>
      <c r="G5" s="3" t="inlineStr">
        <is>
          <t>默认状态</t>
        </is>
      </c>
      <c r="H5" s="4" t="inlineStr">
        <is>
          <t>未执行</t>
        </is>
      </c>
      <c r="I5" s="4" t="n"/>
    </row>
    <row r="6" ht="42" customHeight="1">
      <c r="A6" s="3" t="inlineStr">
        <is>
          <t>关联规则</t>
        </is>
      </c>
      <c r="B6" s="4" t="inlineStr">
        <is>
          <t>4.2会员权益、4.6在线答题、4.12练习册、4.1错题本；后台仅作为题目发布/归档前置条件</t>
        </is>
      </c>
      <c r="C6" s="4" t="n"/>
      <c r="D6" s="4" t="n"/>
      <c r="E6" s="4" t="n"/>
      <c r="F6" s="4" t="n"/>
      <c r="G6" s="4" t="n"/>
      <c r="H6" s="4" t="n"/>
      <c r="I6" s="4" t="n"/>
    </row>
    <row r="8">
      <c r="A8" s="6" t="inlineStr">
        <is>
          <t>模块覆盖统计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 ht="32" customHeight="1">
      <c r="A9" s="7" t="inlineStr">
        <is>
          <t>模块</t>
        </is>
      </c>
      <c r="B9" s="7" t="inlineStr">
        <is>
          <t>用例数</t>
        </is>
      </c>
      <c r="C9" s="7" t="inlineStr">
        <is>
          <t>P0</t>
        </is>
      </c>
      <c r="D9" s="7" t="inlineStr">
        <is>
          <t>未执行</t>
        </is>
      </c>
      <c r="E9" s="7" t="inlineStr">
        <is>
          <t>是否通过-是</t>
        </is>
      </c>
      <c r="F9" s="7" t="inlineStr">
        <is>
          <t>是否通过-否</t>
        </is>
      </c>
      <c r="G9" s="7" t="inlineStr">
        <is>
          <t>严重缺陷</t>
        </is>
      </c>
      <c r="H9" s="7" t="inlineStr">
        <is>
          <t>已完成修复</t>
        </is>
      </c>
      <c r="I9" s="7" t="inlineStr">
        <is>
          <t>回归通过</t>
        </is>
      </c>
    </row>
    <row r="10" ht="26" customHeight="1">
      <c r="A10" s="8" t="inlineStr">
        <is>
          <t>入口与考试范围</t>
        </is>
      </c>
      <c r="B10" s="8">
        <f>COUNTA('入口与考试范围'!$A$4:$A$7)</f>
        <v/>
      </c>
      <c r="C10" s="8">
        <f>COUNTIF('入口与考试范围'!$D$4:$D$7,"P0")</f>
        <v/>
      </c>
      <c r="D10" s="8">
        <f>COUNTIF('入口与考试范围'!$J$4:$J$7,"未执行")</f>
        <v/>
      </c>
      <c r="E10" s="8">
        <f>COUNTIF('入口与考试范围'!$K$4:$K$7,"是")</f>
        <v/>
      </c>
      <c r="F10" s="8">
        <f>COUNTIF('入口与考试范围'!$K$4:$K$7,"否")</f>
        <v/>
      </c>
      <c r="G10" s="8">
        <f>COUNTIF('入口与考试范围'!$L$4:$L$7,"阻塞")+COUNTIF('入口与考试范围'!$L$4:$L$7,"高")</f>
        <v/>
      </c>
      <c r="H10" s="8">
        <f>COUNTIF('入口与考试范围'!$O$4:$O$7,"已完成")</f>
        <v/>
      </c>
      <c r="I10" s="8">
        <f>COUNTIF('入口与考试范围'!$P$4:$P$7,"通过")</f>
        <v/>
      </c>
    </row>
    <row r="11" ht="26" customHeight="1">
      <c r="A11" s="9" t="inlineStr">
        <is>
          <t>考纲与题量</t>
        </is>
      </c>
      <c r="B11" s="9">
        <f>COUNTA('考纲与题量'!$A$4:$A$7)</f>
        <v/>
      </c>
      <c r="C11" s="9">
        <f>COUNTIF('考纲与题量'!$D$4:$D$7,"P0")</f>
        <v/>
      </c>
      <c r="D11" s="9">
        <f>COUNTIF('考纲与题量'!$J$4:$J$7,"未执行")</f>
        <v/>
      </c>
      <c r="E11" s="9">
        <f>COUNTIF('考纲与题量'!$K$4:$K$7,"是")</f>
        <v/>
      </c>
      <c r="F11" s="9">
        <f>COUNTIF('考纲与题量'!$K$4:$K$7,"否")</f>
        <v/>
      </c>
      <c r="G11" s="9">
        <f>COUNTIF('考纲与题量'!$L$4:$L$7,"阻塞")+COUNTIF('考纲与题量'!$L$4:$L$7,"高")</f>
        <v/>
      </c>
      <c r="H11" s="9">
        <f>COUNTIF('考纲与题量'!$O$4:$O$7,"已完成")</f>
        <v/>
      </c>
      <c r="I11" s="9">
        <f>COUNTIF('考纲与题量'!$P$4:$P$7,"通过")</f>
        <v/>
      </c>
    </row>
    <row r="12" ht="26" customHeight="1">
      <c r="A12" s="8" t="inlineStr">
        <is>
          <t>开始与额度</t>
        </is>
      </c>
      <c r="B12" s="8">
        <f>COUNTA('开始与额度'!$A$4:$A$9)</f>
        <v/>
      </c>
      <c r="C12" s="8">
        <f>COUNTIF('开始与额度'!$D$4:$D$9,"P0")</f>
        <v/>
      </c>
      <c r="D12" s="8">
        <f>COUNTIF('开始与额度'!$J$4:$J$9,"未执行")</f>
        <v/>
      </c>
      <c r="E12" s="8">
        <f>COUNTIF('开始与额度'!$K$4:$K$9,"是")</f>
        <v/>
      </c>
      <c r="F12" s="8">
        <f>COUNTIF('开始与额度'!$K$4:$K$9,"否")</f>
        <v/>
      </c>
      <c r="G12" s="8">
        <f>COUNTIF('开始与额度'!$L$4:$L$9,"阻塞")+COUNTIF('开始与额度'!$L$4:$L$9,"高")</f>
        <v/>
      </c>
      <c r="H12" s="8">
        <f>COUNTIF('开始与额度'!$O$4:$O$9,"已完成")</f>
        <v/>
      </c>
      <c r="I12" s="8">
        <f>COUNTIF('开始与额度'!$P$4:$P$9,"通过")</f>
        <v/>
      </c>
    </row>
    <row r="13" ht="26" customHeight="1">
      <c r="A13" s="9" t="inlineStr">
        <is>
          <t>答题与恢复</t>
        </is>
      </c>
      <c r="B13" s="9">
        <f>COUNTA('答题与恢复'!$A$4:$A$8)</f>
        <v/>
      </c>
      <c r="C13" s="9">
        <f>COUNTIF('答题与恢复'!$D$4:$D$8,"P0")</f>
        <v/>
      </c>
      <c r="D13" s="9">
        <f>COUNTIF('答题与恢复'!$J$4:$J$8,"未执行")</f>
        <v/>
      </c>
      <c r="E13" s="9">
        <f>COUNTIF('答题与恢复'!$K$4:$K$8,"是")</f>
        <v/>
      </c>
      <c r="F13" s="9">
        <f>COUNTIF('答题与恢复'!$K$4:$K$8,"否")</f>
        <v/>
      </c>
      <c r="G13" s="9">
        <f>COUNTIF('答题与恢复'!$L$4:$L$8,"阻塞")+COUNTIF('答题与恢复'!$L$4:$L$8,"高")</f>
        <v/>
      </c>
      <c r="H13" s="9">
        <f>COUNTIF('答题与恢复'!$O$4:$O$8,"已完成")</f>
        <v/>
      </c>
      <c r="I13" s="9">
        <f>COUNTIF('答题与恢复'!$P$4:$P$8,"通过")</f>
        <v/>
      </c>
    </row>
    <row r="14" ht="26" customHeight="1">
      <c r="A14" s="8" t="inlineStr">
        <is>
          <t>交卷与联动</t>
        </is>
      </c>
      <c r="B14" s="8">
        <f>COUNTA('交卷与联动'!$A$4:$A$8)</f>
        <v/>
      </c>
      <c r="C14" s="8">
        <f>COUNTIF('交卷与联动'!$D$4:$D$8,"P0")</f>
        <v/>
      </c>
      <c r="D14" s="8">
        <f>COUNTIF('交卷与联动'!$J$4:$J$8,"未执行")</f>
        <v/>
      </c>
      <c r="E14" s="8">
        <f>COUNTIF('交卷与联动'!$K$4:$K$8,"是")</f>
        <v/>
      </c>
      <c r="F14" s="8">
        <f>COUNTIF('交卷与联动'!$K$4:$K$8,"否")</f>
        <v/>
      </c>
      <c r="G14" s="8">
        <f>COUNTIF('交卷与联动'!$L$4:$L$8,"阻塞")+COUNTIF('交卷与联动'!$L$4:$L$8,"高")</f>
        <v/>
      </c>
      <c r="H14" s="8">
        <f>COUNTIF('交卷与联动'!$O$4:$O$8,"已完成")</f>
        <v/>
      </c>
      <c r="I14" s="8">
        <f>COUNTIF('交卷与联动'!$P$4:$P$8,"通过")</f>
        <v/>
      </c>
    </row>
    <row r="15" ht="26" customHeight="1">
      <c r="A15" s="9" t="inlineStr">
        <is>
          <t>练习记录与入口</t>
        </is>
      </c>
      <c r="B15" s="9">
        <f>COUNTA('练习记录与入口'!$A$4:$A$8)</f>
        <v/>
      </c>
      <c r="C15" s="9">
        <f>COUNTIF('练习记录与入口'!$D$4:$D$8,"P0")</f>
        <v/>
      </c>
      <c r="D15" s="9">
        <f>COUNTIF('练习记录与入口'!$J$4:$J$8,"未执行")</f>
        <v/>
      </c>
      <c r="E15" s="9">
        <f>COUNTIF('练习记录与入口'!$K$4:$K$8,"是")</f>
        <v/>
      </c>
      <c r="F15" s="9">
        <f>COUNTIF('练习记录与入口'!$K$4:$K$8,"否")</f>
        <v/>
      </c>
      <c r="G15" s="9">
        <f>COUNTIF('练习记录与入口'!$L$4:$L$8,"阻塞")+COUNTIF('练习记录与入口'!$L$4:$L$8,"高")</f>
        <v/>
      </c>
      <c r="H15" s="9">
        <f>COUNTIF('练习记录与入口'!$O$4:$O$8,"已完成")</f>
        <v/>
      </c>
      <c r="I15" s="9">
        <f>COUNTIF('练习记录与入口'!$P$4:$P$8,"通过")</f>
        <v/>
      </c>
    </row>
    <row r="16" ht="26" customHeight="1">
      <c r="A16" s="8" t="inlineStr">
        <is>
          <t>内容与权限变化</t>
        </is>
      </c>
      <c r="B16" s="8">
        <f>COUNTA('内容与权限变化'!$A$4:$A$6)</f>
        <v/>
      </c>
      <c r="C16" s="8">
        <f>COUNTIF('内容与权限变化'!$D$4:$D$6,"P0")</f>
        <v/>
      </c>
      <c r="D16" s="8">
        <f>COUNTIF('内容与权限变化'!$J$4:$J$6,"未执行")</f>
        <v/>
      </c>
      <c r="E16" s="8">
        <f>COUNTIF('内容与权限变化'!$K$4:$K$6,"是")</f>
        <v/>
      </c>
      <c r="F16" s="8">
        <f>COUNTIF('内容与权限变化'!$K$4:$K$6,"否")</f>
        <v/>
      </c>
      <c r="G16" s="8">
        <f>COUNTIF('内容与权限变化'!$L$4:$L$6,"阻塞")+COUNTIF('内容与权限变化'!$L$4:$L$6,"高")</f>
        <v/>
      </c>
      <c r="H16" s="8">
        <f>COUNTIF('内容与权限变化'!$O$4:$O$6,"已完成")</f>
        <v/>
      </c>
      <c r="I16" s="8">
        <f>COUNTIF('内容与权限变化'!$P$4:$P$6,"通过")</f>
        <v/>
      </c>
    </row>
    <row r="17" ht="26" customHeight="1">
      <c r="A17" s="9" t="inlineStr">
        <is>
          <t>异常恢复</t>
        </is>
      </c>
      <c r="B17" s="9">
        <f>COUNTA('异常恢复'!$A$4:$A$6)</f>
        <v/>
      </c>
      <c r="C17" s="9">
        <f>COUNTIF('异常恢复'!$D$4:$D$6,"P0")</f>
        <v/>
      </c>
      <c r="D17" s="9">
        <f>COUNTIF('异常恢复'!$J$4:$J$6,"未执行")</f>
        <v/>
      </c>
      <c r="E17" s="9">
        <f>COUNTIF('异常恢复'!$K$4:$K$6,"是")</f>
        <v/>
      </c>
      <c r="F17" s="9">
        <f>COUNTIF('异常恢复'!$K$4:$K$6,"否")</f>
        <v/>
      </c>
      <c r="G17" s="9">
        <f>COUNTIF('异常恢复'!$L$4:$L$6,"阻塞")+COUNTIF('异常恢复'!$L$4:$L$6,"高")</f>
        <v/>
      </c>
      <c r="H17" s="9">
        <f>COUNTIF('异常恢复'!$O$4:$O$6,"已完成")</f>
        <v/>
      </c>
      <c r="I17" s="9">
        <f>COUNTIF('异常恢复'!$P$4:$P$6,"通过")</f>
        <v/>
      </c>
    </row>
    <row r="18" ht="28" customHeight="1">
      <c r="A18" s="10" t="inlineStr">
        <is>
          <t>合计</t>
        </is>
      </c>
      <c r="B18" s="10">
        <f>SUM(B10:B17)</f>
        <v/>
      </c>
      <c r="C18" s="10">
        <f>SUM(C10:C17)</f>
        <v/>
      </c>
      <c r="D18" s="10">
        <f>SUM(D10:D17)</f>
        <v/>
      </c>
      <c r="E18" s="10">
        <f>SUM(E10:E17)</f>
        <v/>
      </c>
      <c r="F18" s="10">
        <f>SUM(F10:F17)</f>
        <v/>
      </c>
      <c r="G18" s="10">
        <f>SUM(G10:G17)</f>
        <v/>
      </c>
      <c r="H18" s="10">
        <f>SUM(H10:H17)</f>
        <v/>
      </c>
      <c r="I18" s="10">
        <f>SUM(I10:I17)</f>
        <v/>
      </c>
    </row>
    <row r="20">
      <c r="A20" s="6" t="inlineStr">
        <is>
          <t>使用说明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38" customHeight="1">
      <c r="A21" s="11" t="inlineStr">
        <is>
          <t>执行方式</t>
        </is>
      </c>
      <c r="B21" s="12" t="inlineStr">
        <is>
          <t>使用真实浏览器按编号步骤执行；失败、并发或后台归档场景使用预先准备的测试数据和管理员操作，不要求人工直接修改数据库。</t>
        </is>
      </c>
      <c r="C21" s="12" t="n"/>
      <c r="D21" s="12" t="n"/>
      <c r="E21" s="12" t="n"/>
      <c r="F21" s="12" t="n"/>
      <c r="G21" s="12" t="n"/>
      <c r="H21" s="12" t="n"/>
      <c r="I21" s="12" t="n"/>
    </row>
    <row r="22" ht="38" customHeight="1">
      <c r="A22" s="11" t="inlineStr">
        <is>
          <t>数据准备</t>
        </is>
      </c>
      <c r="B22" s="12" t="inlineStr">
        <is>
          <t>准备ESAT/TMUA游客、免费用户、会员，多层考纲、三档题量、额度边界、进行中练习、缩量历史和可归档题目样本。</t>
        </is>
      </c>
      <c r="C22" s="12" t="n"/>
      <c r="D22" s="12" t="n"/>
      <c r="E22" s="12" t="n"/>
      <c r="F22" s="12" t="n"/>
      <c r="G22" s="12" t="n"/>
      <c r="H22" s="12" t="n"/>
      <c r="I22" s="12" t="n"/>
    </row>
    <row r="23" ht="38" customHeight="1">
      <c r="A23" s="11" t="inlineStr">
        <is>
          <t>当前实现待对齐</t>
        </is>
      </c>
      <c r="B23" s="12" t="inlineStr">
        <is>
          <t>当前专项选题为随机起点加连续题目，不按完整无放回随机或未做题优先验收；异常快照必须可见且不能导致整页白屏。</t>
        </is>
      </c>
      <c r="C23" s="12" t="n"/>
      <c r="D23" s="12" t="n"/>
      <c r="E23" s="12" t="n"/>
      <c r="F23" s="12" t="n"/>
      <c r="G23" s="12" t="n"/>
      <c r="H23" s="12" t="n"/>
      <c r="I23" s="12" t="n"/>
    </row>
    <row r="24" ht="38" customHeight="1">
      <c r="A24" s="11" t="inlineStr">
        <is>
          <t>执行记录</t>
        </is>
      </c>
      <c r="B24" s="12" t="inlineStr">
        <is>
          <t>执行状态、是否通过、缺陷等级、实际结果、修复情况和回归情况为可编辑列；无缺陷编号列。</t>
        </is>
      </c>
      <c r="C24" s="12" t="n"/>
      <c r="D24" s="12" t="n"/>
      <c r="E24" s="12" t="n"/>
      <c r="F24" s="12" t="n"/>
      <c r="G24" s="12" t="n"/>
      <c r="H24" s="12" t="n"/>
      <c r="I24" s="12" t="n"/>
    </row>
    <row r="25" ht="38" customHeight="1">
      <c r="A25" s="11" t="inlineStr">
        <is>
          <t>非目标</t>
        </is>
      </c>
      <c r="B25" s="12" t="inlineStr">
        <is>
          <t>不覆盖后台导入和试题包管理、学生逐题浏览全库、自定义1至5题、混合难度、指定题目、临时记录编辑删除及完整题目版本快照。</t>
        </is>
      </c>
      <c r="C25" s="12" t="n"/>
      <c r="D25" s="12" t="n"/>
      <c r="E25" s="12" t="n"/>
      <c r="F25" s="12" t="n"/>
      <c r="G25" s="12" t="n"/>
      <c r="H25" s="12" t="n"/>
      <c r="I25" s="12" t="n"/>
    </row>
  </sheetData>
  <mergeCells count="15">
    <mergeCell ref="E4:F4"/>
    <mergeCell ref="B21:I21"/>
    <mergeCell ref="A2:I2"/>
    <mergeCell ref="B25:I25"/>
    <mergeCell ref="B6:I6"/>
    <mergeCell ref="A20:I20"/>
    <mergeCell ref="B24:I24"/>
    <mergeCell ref="B5:F5"/>
    <mergeCell ref="A1:I1"/>
    <mergeCell ref="H5:I5"/>
    <mergeCell ref="A8:I8"/>
    <mergeCell ref="B22:I22"/>
    <mergeCell ref="H4:I4"/>
    <mergeCell ref="B23:I23"/>
    <mergeCell ref="B4:C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4.14 试题库人工测试用例 — 入口与考试范围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来源：文档/4-需求文档/4.14 试题库.md｜范围：P0学生端人工回归｜按真实浏览器操作与可观察结果执行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QB-ENTRY-001</t>
        </is>
      </c>
      <c r="B4" s="14" t="inlineStr">
        <is>
          <t>入口与考试范围</t>
        </is>
      </c>
      <c r="C4" s="15" t="inlineStr">
        <is>
          <t>游客浏览题量并在登录后返回原考试考点</t>
        </is>
      </c>
      <c r="D4" s="14" t="inlineStr">
        <is>
          <t>P0</t>
        </is>
      </c>
      <c r="E4" s="14" t="inlineStr">
        <is>
          <t>流程</t>
        </is>
      </c>
      <c r="F4" s="15" t="inlineStr">
        <is>
          <t>浏览器未登录；ESAT目标考点有已发布题目</t>
        </is>
      </c>
      <c r="G4" s="15" t="inlineStr">
        <is>
          <t>当前考试=ESAT；考点K；难度=中等</t>
        </is>
      </c>
      <c r="H4" s="15" t="inlineStr">
        <is>
          <t>1. 以游客身份进入ESAT试题库并选择K
2. 记录三档题量并点击中等卡片立即练习
3. 在确认弹窗点击开始练习
4. 核对进入登录流程且未创建答卷
5. 使用有效学生账号完成登录
6. 核对返回ESAT和K并重新打开中等确认弹窗
7. 取消弹窗完成本次检查</t>
        </is>
      </c>
      <c r="I4" s="15" t="inlineStr">
        <is>
          <t>游客可浏览真实考纲和题量但不能创建练习；登录成功后返回ESAT与K，题量保持一致并由学生重新确认；登录前没有进行中记录。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QB-ENTRY-002</t>
        </is>
      </c>
      <c r="B5" s="18" t="inlineStr">
        <is>
          <t>入口与考试范围</t>
        </is>
      </c>
      <c r="C5" s="19" t="inlineStr">
        <is>
          <t>首页标题、已练题量和两个快捷入口顺序正确</t>
        </is>
      </c>
      <c r="D5" s="18" t="inlineStr">
        <is>
          <t>P0</t>
        </is>
      </c>
      <c r="E5" s="18" t="inlineStr">
        <is>
          <t>校验</t>
        </is>
      </c>
      <c r="F5" s="19" t="inlineStr">
        <is>
          <t>学生已登录；当前考试有练习记录和练习本</t>
        </is>
      </c>
      <c r="G5" s="19" t="inlineStr">
        <is>
          <t>当前考试已练题量U；入口=练习记录、练习本</t>
        </is>
      </c>
      <c r="H5" s="19" t="inlineStr">
        <is>
          <t>1. 进入试题库并记录U作为基线
2. 核对标题和用途说明
3. 核对练习记录位于练习本之前
4. 点击练习记录并返回试题库
5. 点击练习本并返回试题库
6. 核对两次往返后的当前考试
7. 刷新页面再次核对U</t>
        </is>
      </c>
      <c r="I5" s="19" t="inlineStr">
        <is>
          <t>标题与用途说明正确；U保持基线；练习记录和练习本入口顺序、样式和去向可区分；往返后当前考试保持不变。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QB-ENTRY-003</t>
        </is>
      </c>
      <c r="B6" s="14" t="inlineStr">
        <is>
          <t>入口与考试范围</t>
        </is>
      </c>
      <c r="C6" s="15" t="inlineStr">
        <is>
          <t>顶部切换ESAT与TMUA同步切换全部学习范围</t>
        </is>
      </c>
      <c r="D6" s="14" t="inlineStr">
        <is>
          <t>P0</t>
        </is>
      </c>
      <c r="E6" s="14" t="inlineStr">
        <is>
          <t>流程</t>
        </is>
      </c>
      <c r="F6" s="15" t="inlineStr">
        <is>
          <t>同一学生在ESAT、TMUA有不同考纲、额度、进行中或历史</t>
        </is>
      </c>
      <c r="G6" s="15" t="inlineStr">
        <is>
          <t>ESAT样本E；TMUA样本T</t>
        </is>
      </c>
      <c r="H6" s="15" t="inlineStr">
        <is>
          <t>1. 选择ESAT进入试题库并记录考纲、题量、已练题量和进行中提示
2. 打开练习记录核对只显示E后返回
3. 顶部切换TMUA并等待完成
4. 记录TMUA考纲、题量、已练题量和进行中提示
5. 打开练习记录核对只显示T
6. 返回并切回ESAT
7. 核对E数据恢复</t>
        </is>
      </c>
      <c r="I6" s="15" t="inlineStr">
        <is>
          <t>考纲、题量、额度摘要、进行中提示和练习记录均按当前考试切换；ESAT与TMUA互不混用，切回后E保持不变。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27" customHeight="1">
      <c r="A7" s="18" t="inlineStr">
        <is>
          <t>QB-ENTRY-004</t>
        </is>
      </c>
      <c r="B7" s="18" t="inlineStr">
        <is>
          <t>入口与考试范围</t>
        </is>
      </c>
      <c r="C7" s="19" t="inlineStr">
        <is>
          <t>学生不能通过地址读取他人练习与历史</t>
        </is>
      </c>
      <c r="D7" s="18" t="inlineStr">
        <is>
          <t>P0</t>
        </is>
      </c>
      <c r="E7" s="18" t="inlineStr">
        <is>
          <t>安全</t>
        </is>
      </c>
      <c r="F7" s="19" t="inlineStr">
        <is>
          <t>账号A、B分别有可区分的进行中练习和历史；当前登录A</t>
        </is>
      </c>
      <c r="G7" s="19" t="inlineStr">
        <is>
          <t>A记录RA；B记录RB；尝试替换用户或记录标识</t>
        </is>
      </c>
      <c r="H7" s="19" t="inlineStr">
        <is>
          <t>1. 使用A进入试题库和练习记录并记录RA
2. 修改地址中的用户或记录标识为B
3. 刷新页面并观察结果
4. 尝试打开RB的继续练习地址
5. 尝试打开RB的解析地址
6. 返回A的练习记录
7. 重新登录A完成复核</t>
        </is>
      </c>
      <c r="I7" s="19" t="inlineStr">
        <is>
          <t>页面始终只显示A的数据；RB不可继续或查看解析；地址参数不能扩大账号范围，也不会泄露B的题目、答案或历史。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</sheetData>
  <mergeCells count="2">
    <mergeCell ref="A1:P1"/>
    <mergeCell ref="A2:P2"/>
  </mergeCells>
  <conditionalFormatting sqref="D4:D7">
    <cfRule type="expression" priority="1" dxfId="0">
      <formula>$D4="P0"</formula>
    </cfRule>
    <cfRule type="expression" priority="2" dxfId="1">
      <formula>$D4="P1"</formula>
    </cfRule>
  </conditionalFormatting>
  <conditionalFormatting sqref="J4:J7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7">
    <cfRule type="expression" priority="7" dxfId="2">
      <formula>$K4="是"</formula>
    </cfRule>
    <cfRule type="expression" priority="8" dxfId="0">
      <formula>$K4="否"</formula>
    </cfRule>
  </conditionalFormatting>
  <conditionalFormatting sqref="L4:L7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7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7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7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7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7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7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7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7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7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4.14 试题库人工测试用例 — 考纲与题量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来源：文档/4-需求文档/4.14 试题库.md｜范围：P0学生端人工回归｜按真实浏览器操作与可观察结果执行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QB-SCOPE-001</t>
        </is>
      </c>
      <c r="B4" s="14" t="inlineStr">
        <is>
          <t>考纲与题量</t>
        </is>
      </c>
      <c r="C4" s="15" t="inlineStr">
        <is>
          <t>选择父级考点后统计包含全部后代已发布题目</t>
        </is>
      </c>
      <c r="D4" s="14" t="inlineStr">
        <is>
          <t>P0</t>
        </is>
      </c>
      <c r="E4" s="14" t="inlineStr">
        <is>
          <t>流程</t>
        </is>
      </c>
      <c r="F4" s="15" t="inlineStr">
        <is>
          <t>父节点P含叶子L1、L2；各节点有已知三档已发布题目</t>
        </is>
      </c>
      <c r="G4" s="15" t="inlineStr">
        <is>
          <t>P范围简单E、中等M、困难H；L1和L2合计可人工核对</t>
        </is>
      </c>
      <c r="H4" s="15" t="inlineStr">
        <is>
          <t>1. 进入试题库记录当前节点显示作为基线
2. 展开考纲并选择父节点P
3. 等待标题、总题量和三张卡片更新完成
4. 分别记录E、M、H
5. 依次选择L1、L2记录各档题量
6. 对照父级P的汇总
7. 返回P并刷新完成核对</t>
        </is>
      </c>
      <c r="I4" s="15" t="inlineStr">
        <is>
          <t>P的标题和范围正确；三档题量等于P及全部后代已发布题目的汇总；E、M、H之和等于当前范围总题量，刷新后保持。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QB-SCOPE-002</t>
        </is>
      </c>
      <c r="B5" s="18" t="inlineStr">
        <is>
          <t>考纲与题量</t>
        </is>
      </c>
      <c r="C5" s="19" t="inlineStr">
        <is>
          <t>难度区域固定三张卡且零题卡片不可开始</t>
        </is>
      </c>
      <c r="D5" s="18" t="inlineStr">
        <is>
          <t>P0</t>
        </is>
      </c>
      <c r="E5" s="18" t="inlineStr">
        <is>
          <t>校验</t>
        </is>
      </c>
      <c r="F5" s="19" t="inlineStr">
        <is>
          <t>目标考点简单有题、中等无题、困难有题</t>
        </is>
      </c>
      <c r="G5" s="19" t="inlineStr">
        <is>
          <t>简单=2；中等=0；困难=7；历史composite已归入困难</t>
        </is>
      </c>
      <c r="H5" s="19" t="inlineStr">
        <is>
          <t>1. 选择目标考点并等待加载完成
2. 核对只显示简单、中等、困难三张卡
3. 核对英文难度、中文难度、适用说明和题量
4. 点击中等卡片的暂无题目按钮
5. 核对未出现开始弹窗和答卷
6. 点击困难卡片确认可打开弹窗
7. 取消后刷新页面</t>
        </is>
      </c>
      <c r="I5" s="19" t="inlineStr">
        <is>
          <t>页面只有三档难度且不出现composite第四卡；中等0题时按钮禁用且不能创建练习；有题卡片可进入确认，刷新后显示保持。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QB-SCOPE-003</t>
        </is>
      </c>
      <c r="B6" s="14" t="inlineStr">
        <is>
          <t>考纲与题量</t>
        </is>
      </c>
      <c r="C6" s="15" t="inlineStr">
        <is>
          <t>长考点名称可完整辨认且切换节点无需回到顶部</t>
        </is>
      </c>
      <c r="D6" s="14" t="inlineStr">
        <is>
          <t>P0</t>
        </is>
      </c>
      <c r="E6" s="14" t="inlineStr">
        <is>
          <t>功能</t>
        </is>
      </c>
      <c r="F6" s="15" t="inlineStr">
        <is>
          <t>当前考纲含超出侧栏宽度的长名称和较深层级</t>
        </is>
      </c>
      <c r="G6" s="15" t="inlineStr">
        <is>
          <t>长名称节点K；页面内容足以产生纵向滚动</t>
        </is>
      </c>
      <c r="H6" s="15" t="inlineStr">
        <is>
          <t>1. 进入试题库展开至K
2. 使用侧栏横向滚动查看K完整名称
3. 向下滚动页面并继续浏览考纲
4. 在页面较下方选择K
5. 核对右侧标题和题量更新
6. 再切换相邻节点并观察难度卡
7. 回到顶部完成复核</t>
        </is>
      </c>
      <c r="I6" s="15" t="inlineStr">
        <is>
          <t>长名称可通过完整内容宽度辨认；页面向下滚动时仍可切换考点；右侧当前范围和卡片随节点更新，不要求反复回到顶部。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27" customHeight="1">
      <c r="A7" s="18" t="inlineStr">
        <is>
          <t>QB-SCOPE-004</t>
        </is>
      </c>
      <c r="B7" s="18" t="inlineStr">
        <is>
          <t>考纲与题量</t>
        </is>
      </c>
      <c r="C7" s="19" t="inlineStr">
        <is>
          <t>快速切换考试和考点只采用最后一次加载结果</t>
        </is>
      </c>
      <c r="D7" s="18" t="inlineStr">
        <is>
          <t>P0</t>
        </is>
      </c>
      <c r="E7" s="18" t="inlineStr">
        <is>
          <t>异常</t>
        </is>
      </c>
      <c r="F7" s="19" t="inlineStr">
        <is>
          <t>ESAT节点A、B与TMUA节点C数据可区分；可观察不同请求返回先后</t>
        </is>
      </c>
      <c r="G7" s="19" t="inlineStr">
        <is>
          <t>连续选择A→B→切TMUA并选择C</t>
        </is>
      </c>
      <c r="H7" s="19" t="inlineStr">
        <is>
          <t>1. 记录A、B、C的标题和三档题量作为基线
2. 选择A后立即选择B
3. 在请求仍加载时切换TMUA并选择C
4. 等待C结果先显示
5. 再等待A或B的旧请求返回
6. 核对标题、总量、三张卡片和可点击状态
7. 刷新页面再次核对</t>
        </is>
      </c>
      <c r="I7" s="19" t="inlineStr">
        <is>
          <t>切换时旧题量和按钮先清空；最终只显示TMUA的C；迟到的A、B结果不能覆盖当前标题、题量或按钮，刷新后保持C。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</sheetData>
  <mergeCells count="2">
    <mergeCell ref="A1:P1"/>
    <mergeCell ref="A2:P2"/>
  </mergeCells>
  <conditionalFormatting sqref="D4:D7">
    <cfRule type="expression" priority="1" dxfId="0">
      <formula>$D4="P0"</formula>
    </cfRule>
    <cfRule type="expression" priority="2" dxfId="1">
      <formula>$D4="P1"</formula>
    </cfRule>
  </conditionalFormatting>
  <conditionalFormatting sqref="J4:J7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7">
    <cfRule type="expression" priority="7" dxfId="2">
      <formula>$K4="是"</formula>
    </cfRule>
    <cfRule type="expression" priority="8" dxfId="0">
      <formula>$K4="否"</formula>
    </cfRule>
  </conditionalFormatting>
  <conditionalFormatting sqref="L4:L7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7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7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7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7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7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7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7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7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7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4.14 试题库人工测试用例 — 开始与额度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来源：文档/4-需求文档/4.14 试题库.md｜范围：P0学生端人工回归｜按真实浏览器操作与可观察结果执行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QB-START-001</t>
        </is>
      </c>
      <c r="B4" s="14" t="inlineStr">
        <is>
          <t>开始与额度</t>
        </is>
      </c>
      <c r="C4" s="15" t="inlineStr">
        <is>
          <t>题库超过5题时明确区分总量和本次5题</t>
        </is>
      </c>
      <c r="D4" s="14" t="inlineStr">
        <is>
          <t>P0</t>
        </is>
      </c>
      <c r="E4" s="14" t="inlineStr">
        <is>
          <t>流程</t>
        </is>
      </c>
      <c r="F4" s="15" t="inlineStr">
        <is>
          <t>目标考点困难已发布7题；学生资格充足且无进行中练习</t>
        </is>
      </c>
      <c r="G4" s="15" t="inlineStr">
        <is>
          <t>题库总量T=7；计划题量P=5；操作前进行中记录R=0</t>
        </is>
      </c>
      <c r="H4" s="15" t="inlineStr">
        <is>
          <t>1. 记录T、P、R作为基线
2. 点击困难卡片立即练习
3. 核对弹窗中的考点、题库共7题和本次5题
4. 点击开始练习并等待创建完成
5. 进入答题页记录实际题量N和题目ID
6. 检查同组重复题目
7. 正式交卷完成本次练习</t>
        </is>
      </c>
      <c r="I4" s="15" t="inlineStr">
        <is>
          <t>确认弹窗不混淆T与P；创建成功后N=5、单组无重复且R增加为1；本次题目和顺序固定到交卷。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QB-START-002</t>
        </is>
      </c>
      <c r="B5" s="18" t="inlineStr">
        <is>
          <t>开始与额度</t>
        </is>
      </c>
      <c r="C5" s="19" t="inlineStr">
        <is>
          <t>当前范围不足5题时使用全部题目并保留实际题量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目标考点中等只有3道已发布题；无进行中练习</t>
        </is>
      </c>
      <c r="G5" s="19" t="inlineStr">
        <is>
          <t>题库总量T=3；计划与实际均为3；操作前历史H、已练题量U</t>
        </is>
      </c>
      <c r="H5" s="19" t="inlineStr">
        <is>
          <t>1. 记录H、U作为基线
2. 点击中等卡片并核对弹窗说明全部3题
3. 确认开始并记录答题页题量N
4. 暂停返回并核对H、U未变化
5. 继续同一练习并正式交卷
6. 打开练习记录核对计划与实际题量
7. 返回试题库刷新U</t>
        </is>
      </c>
      <c r="I5" s="19" t="inlineStr">
        <is>
          <t>N=3且不补入范围外题目；交卷前H、U保持不变；正式交卷后H增加1、U增加3，历史计划和实际题量均为3。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QB-START-003</t>
        </is>
      </c>
      <c r="B6" s="14" t="inlineStr">
        <is>
          <t>开始与额度</t>
        </is>
      </c>
      <c r="C6" s="15" t="inlineStr">
        <is>
          <t>取消关闭或Esc仅取消待开始并保留当前范围</t>
        </is>
      </c>
      <c r="D6" s="14" t="inlineStr">
        <is>
          <t>P0</t>
        </is>
      </c>
      <c r="E6" s="14" t="inlineStr">
        <is>
          <t>流程</t>
        </is>
      </c>
      <c r="F6" s="15" t="inlineStr">
        <is>
          <t>学生已选择有题目的考试、考点和难度；无进行中练习</t>
        </is>
      </c>
      <c r="G6" s="15" t="inlineStr">
        <is>
          <t>当前考试E、考点K、难度D、三档题量Q；操作前记录R=0</t>
        </is>
      </c>
      <c r="H6" s="15" t="inlineStr">
        <is>
          <t>1. 记录E、K、D、Q、R作为基线
2. 打开确认弹窗后点击取消
3. 再次打开后点击关闭按钮
4. 第三次打开后按Esc
5. 每次关闭后核对页面范围和题量
6. 刷新后核对进行中提示
7. 最后再次打开弹窗完成复核</t>
        </is>
      </c>
      <c r="I6" s="15" t="inlineStr">
        <is>
          <t>三种方式都只关闭弹窗；E、K、D、Q保持不变，R仍为0；不会消耗额度或生成答卷。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27" customHeight="1">
      <c r="A7" s="18" t="inlineStr">
        <is>
          <t>QB-START-004</t>
        </is>
      </c>
      <c r="B7" s="18" t="inlineStr">
        <is>
          <t>开始与额度</t>
        </is>
      </c>
      <c r="C7" s="19" t="inlineStr">
        <is>
          <t>免费额度不足时取消不创建确认后按剩余量缩量</t>
        </is>
      </c>
      <c r="D7" s="18" t="inlineStr">
        <is>
          <t>P0</t>
        </is>
      </c>
      <c r="E7" s="18" t="inlineStr">
        <is>
          <t>权限</t>
        </is>
      </c>
      <c r="F7" s="19" t="inlineStr">
        <is>
          <t>免费用户计划练习5题但当前考试只剩2题额度；候选充足</t>
        </is>
      </c>
      <c r="G7" s="19" t="inlineStr">
        <is>
          <t>计划P=5；剩余A=2；操作前已用U、历史H、进行中R=0</t>
        </is>
      </c>
      <c r="H7" s="19" t="inlineStr">
        <is>
          <t>1. 记录U、H、R作为基线
2. 完成第一次题量确认
3. 核对第二弹窗明确还可练2题
4. 先取消并刷新U、H、R
5. 再次开始并确认缩量
6. 进入答题页记录实际题量N并正式交卷
7. 返回练习记录和试题库核对快照与U</t>
        </is>
      </c>
      <c r="I7" s="19" t="inlineStr">
        <is>
          <t>取消时U、H、R保持不变；确认后N=2，快照保留计划5题和实际2题；正式交卷后H增加1、U增加2。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27" customHeight="1">
      <c r="A8" s="14" t="inlineStr">
        <is>
          <t>QB-START-005</t>
        </is>
      </c>
      <c r="B8" s="14" t="inlineStr">
        <is>
          <t>开始与额度</t>
        </is>
      </c>
      <c r="C8" s="15" t="inlineStr">
        <is>
          <t>额度为零禁止开始而会员可正常开始</t>
        </is>
      </c>
      <c r="D8" s="14" t="inlineStr">
        <is>
          <t>P0</t>
        </is>
      </c>
      <c r="E8" s="14" t="inlineStr">
        <is>
          <t>权限</t>
        </is>
      </c>
      <c r="F8" s="15" t="inlineStr">
        <is>
          <t>账号A为当前考试免费剩余0；账号B为该考试有效会员</t>
        </is>
      </c>
      <c r="G8" s="15" t="inlineStr">
        <is>
          <t>同一有5题考点；A、B操作前均无进行中练习</t>
        </is>
      </c>
      <c r="H8" s="15" t="inlineStr">
        <is>
          <t>1. 使用A记录已用题量和进行中记录作为基线
2. 点击立即练习并完成第一次确认
3. 核对开通会员提示，关闭后刷新
4. 使用B进入同一考试和考点
5. 点击立即练习并确认
6. 核对B进入5题答题页
7. 保存退出后分别检查A、B</t>
        </is>
      </c>
      <c r="I8" s="15" t="inlineStr">
        <is>
          <t>A不能创建练习，已用题量和进行中记录保持不变，并获得对应考试购买入口；B不受免费题量限制，可开始5题；两账号不混用。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  <row r="9" ht="127" customHeight="1">
      <c r="A9" s="18" t="inlineStr">
        <is>
          <t>QB-START-006</t>
        </is>
      </c>
      <c r="B9" s="18" t="inlineStr">
        <is>
          <t>开始与额度</t>
        </is>
      </c>
      <c r="C9" s="19" t="inlineStr">
        <is>
          <t>所有入口共用唯一进行中练习且多窗口只生成一份</t>
        </is>
      </c>
      <c r="D9" s="18" t="inlineStr">
        <is>
          <t>P0</t>
        </is>
      </c>
      <c r="E9" s="18" t="inlineStr">
        <is>
          <t>异常</t>
        </is>
      </c>
      <c r="F9" s="19" t="inlineStr">
        <is>
          <t>学生无进行中练习；专项、自由组卷和练习本均可开始</t>
        </is>
      </c>
      <c r="G9" s="19" t="inlineStr">
        <is>
          <t>窗口A从专项开始；窗口B从练习本或自由组卷同时开始；操作前R=0、已用U</t>
        </is>
      </c>
      <c r="H9" s="19" t="inlineStr">
        <is>
          <t>1. 记录R、U作为基线
2. 在窗口A快速连续确认专项练习
3. 同时在窗口B确认另一入口开始
4. 等待所有请求完成并刷新两个页面
5. 从试题库点击继续练习并记录唯一题集S
6. 从另一入口再次尝试开始
7. 正式交卷S后核对记录和U</t>
        </is>
      </c>
      <c r="I9" s="19" t="inlineStr">
        <is>
          <t>最终最多创建一份可继续题集S；其他入口只能引导继续S；交卷前U保持不变，交卷后只按S实际题量增加一次。</t>
        </is>
      </c>
      <c r="J9" s="16" t="inlineStr">
        <is>
          <t>未执行</t>
        </is>
      </c>
      <c r="K9" s="16" t="n"/>
      <c r="L9" s="16" t="n"/>
      <c r="M9" s="17" t="n"/>
      <c r="N9" s="17" t="n"/>
      <c r="O9" s="16" t="n"/>
      <c r="P9" s="16" t="n"/>
    </row>
  </sheetData>
  <mergeCells count="2">
    <mergeCell ref="A1:P1"/>
    <mergeCell ref="A2:P2"/>
  </mergeCells>
  <conditionalFormatting sqref="D4:D9">
    <cfRule type="expression" priority="1" dxfId="0">
      <formula>$D4="P0"</formula>
    </cfRule>
    <cfRule type="expression" priority="2" dxfId="1">
      <formula>$D4="P1"</formula>
    </cfRule>
  </conditionalFormatting>
  <conditionalFormatting sqref="J4:J9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9">
    <cfRule type="expression" priority="7" dxfId="2">
      <formula>$K4="是"</formula>
    </cfRule>
    <cfRule type="expression" priority="8" dxfId="0">
      <formula>$K4="否"</formula>
    </cfRule>
  </conditionalFormatting>
  <conditionalFormatting sqref="L4:L9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9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9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9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9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9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9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9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9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9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4.14 试题库人工测试用例 — 答题与恢复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来源：文档/4-需求文档/4.14 试题库.md｜范围：P0学生端人工回归｜按真实浏览器操作与可观察结果执行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QB-ANSWER-001</t>
        </is>
      </c>
      <c r="B4" s="14" t="inlineStr">
        <is>
          <t>答题与恢复</t>
        </is>
      </c>
      <c r="C4" s="15" t="inlineStr">
        <is>
          <t>题干公式图片和选项按数学语义正确展示</t>
        </is>
      </c>
      <c r="D4" s="14" t="inlineStr">
        <is>
          <t>P0</t>
        </is>
      </c>
      <c r="E4" s="14" t="inlineStr">
        <is>
          <t>校验</t>
        </is>
      </c>
      <c r="F4" s="15" t="inlineStr">
        <is>
          <t>专项练习含普通文字、根号、上下标、复杂公式和图片题</t>
        </is>
      </c>
      <c r="G4" s="15" t="inlineStr">
        <is>
          <t>代表性题目5道；源内容可与后台审核稿对照</t>
        </is>
      </c>
      <c r="H4" s="15" t="inlineStr">
        <is>
          <t>1. 开始目标专项练习进入第一题
2. 逐题查看题干、选项和内容顺序
3. 核对根号、上下标和公式渲染
4. 核对图片清晰度及与文字相对位置
5. 选择答案并使用题号导航往返
6. 调整浏览器宽度再次查看
7. 保存并刷新完成复核</t>
        </is>
      </c>
      <c r="I4" s="15" t="inlineStr">
        <is>
          <t>文字、公式和图片保持原数学语义与顺序；合法根号不显示sqrt等源文本；切题、缩放和刷新不破坏内容或答案选择。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QB-ANSWER-002</t>
        </is>
      </c>
      <c r="B5" s="18" t="inlineStr">
        <is>
          <t>答题与恢复</t>
        </is>
      </c>
      <c r="C5" s="19" t="inlineStr">
        <is>
          <t>刷新关闭和返回后恢复同一题集答案进度与用时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已开始一份5题专项练习</t>
        </is>
      </c>
      <c r="G5" s="19" t="inlineStr">
        <is>
          <t>题目顺序S；已选答案A；当前题Q；已答数量C；用时T</t>
        </is>
      </c>
      <c r="H5" s="19" t="inlineStr">
        <is>
          <t>1. 作答两题并记录S、A、Q、C、T作为基线
2. 等待页面显示保存成功后刷新
3. 核对恢复内容
4. 再作答一题并通过页面返回试题库
5. 关闭浏览器后重新登录
6. 从试题库继续练习
7. 核对S、A、Q、C、T并正式交卷</t>
        </is>
      </c>
      <c r="I5" s="19" t="inlineStr">
        <is>
          <t>多种离开方式均恢复同一记录；S、A、Q、C和已保存用时保持，不重新抽题、不创建第二份练习。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QB-ANSWER-003</t>
        </is>
      </c>
      <c r="B6" s="14" t="inlineStr">
        <is>
          <t>答题与恢复</t>
        </is>
      </c>
      <c r="C6" s="15" t="inlineStr">
        <is>
          <t>保存失败保留最新答案并阻止无提示离开</t>
        </is>
      </c>
      <c r="D6" s="14" t="inlineStr">
        <is>
          <t>P0</t>
        </is>
      </c>
      <c r="E6" s="14" t="inlineStr">
        <is>
          <t>异常</t>
        </is>
      </c>
      <c r="F6" s="15" t="inlineStr">
        <is>
          <t>正在专项练习；可临时制造保存请求失败</t>
        </is>
      </c>
      <c r="G6" s="15" t="inlineStr">
        <is>
          <t>当前题Q；原答案A；改答B</t>
        </is>
      </c>
      <c r="H6" s="15" t="inlineStr">
        <is>
          <t>1. 记录Q和A作为基线
2. 断开网络后将答案改为B
3. 切题并核对保存失败提示和B仍保留
4. 点击返回试题库
5. 核对未保存时仍停留答题页并可重试
6. 恢复网络后重试至保存成功
7. 返回后从试题库继续并核对B</t>
        </is>
      </c>
      <c r="I6" s="15" t="inlineStr">
        <is>
          <t>保存失败不清空或回退B，也不静默离开；重试成功后最新答案更新为B；继续时仍为原题集和原进度。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27" customHeight="1">
      <c r="A7" s="18" t="inlineStr">
        <is>
          <t>QB-ANSWER-004</t>
        </is>
      </c>
      <c r="B7" s="18" t="inlineStr">
        <is>
          <t>答题与恢复</t>
        </is>
      </c>
      <c r="C7" s="19" t="inlineStr">
        <is>
          <t>进行中提示显示已答题量且全部难度卡禁止新开始</t>
        </is>
      </c>
      <c r="D7" s="18" t="inlineStr">
        <is>
          <t>P0</t>
        </is>
      </c>
      <c r="E7" s="18" t="inlineStr">
        <is>
          <t>流程</t>
        </is>
      </c>
      <c r="F7" s="19" t="inlineStr">
        <is>
          <t>当前考试有一份已答2题的临时专项练习</t>
        </is>
      </c>
      <c r="G7" s="19" t="inlineStr">
        <is>
          <t>进行中练习R；已答C=2；另有多个有题考点</t>
        </is>
      </c>
      <c r="H7" s="19" t="inlineStr">
        <is>
          <t>1. 进入试题库记录R和C作为基线
2. 核对进行中区域的考试、已答题量和继续按钮
3. 依次切换多个考点和难度
4. 尝试点击三张难度卡开始操作
5. 点击继续练习并核对进入R
6. 再答一题保存后返回试题库
7. 核对C更新为3</t>
        </is>
      </c>
      <c r="I7" s="19" t="inlineStr">
        <is>
          <t>进行中提示准确指向R，C从2更新为3；R未交卷时所有新开始操作不可用；继续恢复R而非新题集。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27" customHeight="1">
      <c r="A8" s="14" t="inlineStr">
        <is>
          <t>QB-ANSWER-005</t>
        </is>
      </c>
      <c r="B8" s="14" t="inlineStr">
        <is>
          <t>答题与恢复</t>
        </is>
      </c>
      <c r="C8" s="15" t="inlineStr">
        <is>
          <t>当前选题方式保证单次不重复但不宣称未做题优先</t>
        </is>
      </c>
      <c r="D8" s="14" t="inlineStr">
        <is>
          <t>P0</t>
        </is>
      </c>
      <c r="E8" s="14" t="inlineStr">
        <is>
          <t>校验</t>
        </is>
      </c>
      <c r="F8" s="15" t="inlineStr">
        <is>
          <t>目标范围候选题多于5，用户已有部分作答历史</t>
        </is>
      </c>
      <c r="G8" s="15" t="inlineStr">
        <is>
          <t>连续完成多组专项练习；记录每组题目ID和用户已做标记</t>
        </is>
      </c>
      <c r="H8" s="15" t="inlineStr">
        <is>
          <t>1. 记录候选范围和用户历史作为基线
2. 开始第一组5题并记录题目ID和顺序
3. 检查组内重复后正式交卷
4. 重复完成若干组练习
5. 对比各组起点、连续顺序和已做题出现情况
6. 检查页面题量与选题文案
7. 汇总结果完成核对</t>
        </is>
      </c>
      <c r="I8" s="15" t="inlineStr">
        <is>
          <t>每组题目数量保持正确且组内无重复，题目开始后冻结；多组可以出现旧题，页面不承诺完全随机或未做题优先。</t>
        </is>
      </c>
      <c r="J8" s="16" t="inlineStr">
        <is>
          <t>未执行</t>
        </is>
      </c>
      <c r="K8" s="16" t="n"/>
      <c r="L8" s="16" t="n"/>
      <c r="M8" s="17" t="n"/>
      <c r="N8" s="17" t="inlineStr">
        <is>
          <t>当前实现采用随机起点加连续题目；完整无放回随机和未做题优先属于后续能力。</t>
        </is>
      </c>
      <c r="O8" s="16" t="n"/>
      <c r="P8" s="16" t="n"/>
    </row>
  </sheetData>
  <mergeCells count="2">
    <mergeCell ref="A1:P1"/>
    <mergeCell ref="A2:P2"/>
  </mergeCells>
  <conditionalFormatting sqref="D4:D8">
    <cfRule type="expression" priority="1" dxfId="0">
      <formula>$D4="P0"</formula>
    </cfRule>
    <cfRule type="expression" priority="2" dxfId="1">
      <formula>$D4="P1"</formula>
    </cfRule>
  </conditionalFormatting>
  <conditionalFormatting sqref="J4:J8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8">
    <cfRule type="expression" priority="7" dxfId="2">
      <formula>$K4="是"</formula>
    </cfRule>
    <cfRule type="expression" priority="8" dxfId="0">
      <formula>$K4="否"</formula>
    </cfRule>
  </conditionalFormatting>
  <conditionalFormatting sqref="L4:L8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8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8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8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8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8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8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8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8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8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4.14 试题库人工测试用例 — 交卷与联动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来源：文档/4-需求文档/4.14 试题库.md｜范围：P0学生端人工回归｜按真实浏览器操作与可观察结果执行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QB-SUBMIT-001</t>
        </is>
      </c>
      <c r="B4" s="14" t="inlineStr">
        <is>
          <t>交卷与联动</t>
        </is>
      </c>
      <c r="C4" s="15" t="inlineStr">
        <is>
          <t>正式交卷后练习记录已练题量和错题同步更新</t>
        </is>
      </c>
      <c r="D4" s="14" t="inlineStr">
        <is>
          <t>P0</t>
        </is>
      </c>
      <c r="E4" s="14" t="inlineStr">
        <is>
          <t>流程</t>
        </is>
      </c>
      <c r="F4" s="15" t="inlineStr">
        <is>
          <t>学生有一份5题专项练习，可安排3对1错1未答</t>
        </is>
      </c>
      <c r="G4" s="15" t="inlineStr">
        <is>
          <t>操作前练习记录H、已练题量U、错题总数W；本次实际题量N=5</t>
        </is>
      </c>
      <c r="H4" s="15" t="inlineStr">
        <is>
          <t>1. 在试题库、练习记录和错题本记录H、U、W作为基线
2. 开始练习并按3对1错1未答完成
3. 保存返回但不交卷，再次核对H、U、W
4. 继续同一练习并正式确认交卷
5. 返回练习记录刷新H
6. 返回试题库核对U并到错题本核对W
7. 重新登录后再次核对</t>
        </is>
      </c>
      <c r="I4" s="15" t="inlineStr">
        <is>
          <t>交卷前H、U、W保持不变；正式交卷后H增加1、U增加N=5，1道错误和1道未答进入错题本；重新登录后保持。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QB-SUBMIT-002</t>
        </is>
      </c>
      <c r="B5" s="18" t="inlineStr">
        <is>
          <t>交卷与联动</t>
        </is>
      </c>
      <c r="C5" s="19" t="inlineStr">
        <is>
          <t>主动交卷提示未答数量并在提交中锁定操作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专项练习已答部分题目且仍有未答题</t>
        </is>
      </c>
      <c r="G5" s="19" t="inlineStr">
        <is>
          <t>未答题M；当前答案A；操作前历史H</t>
        </is>
      </c>
      <c r="H5" s="19" t="inlineStr">
        <is>
          <t>1. 记录M、A、H作为基线
2. 点击提交并核对弹窗中的未答数量
3. 先取消并继续改答一题
4. 再次提交并确认
5. 提交中尝试改答、切题、返回和重复点击提交
6. 等待完成弹窗
7. 返回练习记录核对H</t>
        </is>
      </c>
      <c r="I5" s="19" t="inlineStr">
        <is>
          <t>取消后可继续答题；确认后答案、导航和返回被锁定，不能重复提交；成功后H增加1且答案不可再修改。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QB-SUBMIT-003</t>
        </is>
      </c>
      <c r="B6" s="14" t="inlineStr">
        <is>
          <t>交卷与联动</t>
        </is>
      </c>
      <c r="C6" s="15" t="inlineStr">
        <is>
          <t>提交响应丢失或重复重试只形成一次业务结果</t>
        </is>
      </c>
      <c r="D6" s="14" t="inlineStr">
        <is>
          <t>P0</t>
        </is>
      </c>
      <c r="E6" s="14" t="inlineStr">
        <is>
          <t>异常</t>
        </is>
      </c>
      <c r="F6" s="15" t="inlineStr">
        <is>
          <t>练习可正式交卷；可模拟服务端成功但页面未收到响应</t>
        </is>
      </c>
      <c r="G6" s="15" t="inlineStr">
        <is>
          <t>操作前历史H、已练题量U、错题数W；本次实际N</t>
        </is>
      </c>
      <c r="H6" s="15" t="inlineStr">
        <is>
          <t>1. 记录H、U、W作为基线
2. 正式提交并制造响应丢失
3. 页面提示失败后连续点击重试
4. 刷新页面并重新进入原练习
5. 核对返回同一完成结果
6. 返回三个展示页面刷新
7. 重新登录后再次核对</t>
        </is>
      </c>
      <c r="I6" s="15" t="inlineStr">
        <is>
          <t>最终只形成一条完成记录；H增加1、U增加N、W只按本次错误增加一次；重复重试和刷新不再次增加。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27" customHeight="1">
      <c r="A7" s="18" t="inlineStr">
        <is>
          <t>QB-SUBMIT-004</t>
        </is>
      </c>
      <c r="B7" s="18" t="inlineStr">
        <is>
          <t>交卷与联动</t>
        </is>
      </c>
      <c r="C7" s="19" t="inlineStr">
        <is>
          <t>完成弹窗三条去向及解析返回来源正确</t>
        </is>
      </c>
      <c r="D7" s="18" t="inlineStr">
        <is>
          <t>P0</t>
        </is>
      </c>
      <c r="E7" s="18" t="inlineStr">
        <is>
          <t>流程</t>
        </is>
      </c>
      <c r="F7" s="19" t="inlineStr">
        <is>
          <t>专项练习可连续完成多次以验证三个去向</t>
        </is>
      </c>
      <c r="G7" s="19" t="inlineStr">
        <is>
          <t>去向A=返回试题库；B=前往练习记录；C=查看解析</t>
        </is>
      </c>
      <c r="H7" s="19" t="inlineStr">
        <is>
          <t>1. 完成第一份练习并点击返回试题库
2. 核对当前考试和进行中占用已释放
3. 完成第二份练习并点击前往练习记录
4. 核对新增记录后返回试题库
5. 完成第三份练习并点击查看解析
6. 逐题浏览后点击返回
7. 再从练习记录进入同次解析并返回</t>
        </is>
      </c>
      <c r="I7" s="19" t="inlineStr">
        <is>
          <t>完成弹窗只提供约定三条去向；A回试题库，B到练习记录，C进入本次解析；从弹窗解析返回试题库，从记录解析返回练习记录。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27" customHeight="1">
      <c r="A8" s="14" t="inlineStr">
        <is>
          <t>QB-SUBMIT-005</t>
        </is>
      </c>
      <c r="B8" s="14" t="inlineStr">
        <is>
          <t>交卷与联动</t>
        </is>
      </c>
      <c r="C8" s="15" t="inlineStr">
        <is>
          <t>交卷成功后旧页面保存被拒绝且最终答案不被覆盖</t>
        </is>
      </c>
      <c r="D8" s="14" t="inlineStr">
        <is>
          <t>P0</t>
        </is>
      </c>
      <c r="E8" s="14" t="inlineStr">
        <is>
          <t>异常</t>
        </is>
      </c>
      <c r="F8" s="15" t="inlineStr">
        <is>
          <t>同一练习在窗口A、B打开；窗口A可完成交卷</t>
        </is>
      </c>
      <c r="G8" s="15" t="inlineStr">
        <is>
          <t>窗口A最终答案A1；窗口B保留旧答案B1</t>
        </is>
      </c>
      <c r="H8" s="15" t="inlineStr">
        <is>
          <t>1. 在两个窗口打开同一练习并记录答案作为基线
2. 在A更新答案为A1并正式交卷
3. 在B尝试改答为B1并触发保存
4. 核对B收到已完成或需要刷新的反馈
5. 刷新B并查看最终答案
6. 从练习记录进入解析核对
7. 返回列表完成复核</t>
        </is>
      </c>
      <c r="I8" s="15" t="inlineStr">
        <is>
          <t>A交卷后结果锁定；B的迟到保存被拒绝且不能用B1覆盖A1；刷新和解析均显示最终已提交答案。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</sheetData>
  <mergeCells count="2">
    <mergeCell ref="A1:P1"/>
    <mergeCell ref="A2:P2"/>
  </mergeCells>
  <conditionalFormatting sqref="D4:D8">
    <cfRule type="expression" priority="1" dxfId="0">
      <formula>$D4="P0"</formula>
    </cfRule>
    <cfRule type="expression" priority="2" dxfId="1">
      <formula>$D4="P1"</formula>
    </cfRule>
  </conditionalFormatting>
  <conditionalFormatting sqref="J4:J8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8">
    <cfRule type="expression" priority="7" dxfId="2">
      <formula>$K4="是"</formula>
    </cfRule>
    <cfRule type="expression" priority="8" dxfId="0">
      <formula>$K4="否"</formula>
    </cfRule>
  </conditionalFormatting>
  <conditionalFormatting sqref="L4:L8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8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8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8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8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8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8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8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8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8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4.14 试题库人工测试用例 — 练习记录与入口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来源：文档/4-需求文档/4.14 试题库.md｜范围：P0学生端人工回归｜按真实浏览器操作与可观察结果执行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QB-HISTORY-001</t>
        </is>
      </c>
      <c r="B4" s="14" t="inlineStr">
        <is>
          <t>练习记录与入口</t>
        </is>
      </c>
      <c r="C4" s="15" t="inlineStr">
        <is>
          <t>练习记录只展示当前考试本人的临时专项练习</t>
        </is>
      </c>
      <c r="D4" s="14" t="inlineStr">
        <is>
          <t>P0</t>
        </is>
      </c>
      <c r="E4" s="14" t="inlineStr">
        <is>
          <t>权限</t>
        </is>
      </c>
      <c r="F4" s="15" t="inlineStr">
        <is>
          <t>学生在ESAT、TMUA均有临时记录和练习本历史</t>
        </is>
      </c>
      <c r="G4" s="15" t="inlineStr">
        <is>
          <t>ESAT临时E、练习本E2；TMUA临时T、练习本T2</t>
        </is>
      </c>
      <c r="H4" s="15" t="inlineStr">
        <is>
          <t>1. 顶部选择ESAT进入练习记录
2. 核对只显示E，不显示E2、T、T2
3. 切换TMUA并等待加载完成
4. 核对只显示T
5. 点击返回试题库
6. 进入练习本核对E2/T2各自归属
7. 返回练习记录再次核对</t>
        </is>
      </c>
      <c r="I4" s="15" t="inlineStr">
        <is>
          <t>练习记录仅承接当前学生、当前考试且未归属练习本的记录；练习本历史不重复出现，切换考试不串数据。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QB-HISTORY-002</t>
        </is>
      </c>
      <c r="B5" s="18" t="inlineStr">
        <is>
          <t>练习记录与入口</t>
        </is>
      </c>
      <c r="C5" s="19" t="inlineStr">
        <is>
          <t>进行中临时练习置顶显示且练习本任务不重复展示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场景A有临时专项进行中；场景B只有练习本进行中</t>
        </is>
      </c>
      <c r="G5" s="19" t="inlineStr">
        <is>
          <t>临时记录R含已答C、开始时间S；练习本记录B</t>
        </is>
      </c>
      <c r="H5" s="19" t="inlineStr">
        <is>
          <t>1. 在场景A进入练习记录
2. 核对顶部进行中区域的考试、C、S和继续入口
3. 点击继续并返回
4. 切换到场景B账号或完成R
5. 进入练习记录查找B
6. 再进入练习本查找B
7. 返回试题库完成复核</t>
        </is>
      </c>
      <c r="I5" s="19" t="inlineStr">
        <is>
          <t>临时R在记录页顶部可继续且信息准确；普通练习本B不在练习记录重复展示，只在练习本入口继续。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QB-HISTORY-003</t>
        </is>
      </c>
      <c r="B6" s="14" t="inlineStr">
        <is>
          <t>练习记录与入口</t>
        </is>
      </c>
      <c r="C6" s="15" t="inlineStr">
        <is>
          <t>完成记录完整展示快照成绩正确率提示和用时</t>
        </is>
      </c>
      <c r="D6" s="14" t="inlineStr">
        <is>
          <t>P0</t>
        </is>
      </c>
      <c r="E6" s="14" t="inlineStr">
        <is>
          <t>校验</t>
        </is>
      </c>
      <c r="F6" s="15" t="inlineStr">
        <is>
          <t>已有正常5题记录和额度缩量2题记录</t>
        </is>
      </c>
      <c r="G6" s="15" t="inlineStr">
        <is>
          <t>快照含考试、知识点名称与路径、难度、来源、计划P、实际N、正确数C、用时T和交卷时间S</t>
        </is>
      </c>
      <c r="H6" s="15" t="inlineStr">
        <is>
          <t>1. 进入练习记录记录两条样本作为基线
2. 核对练习内容的知识点主标题及考试、父级路径
3. 核对来源、难度、实际题量
4. 在缩量样本核对计划与实际同时显示
5. 核对C/N、正确率、学习提示、T和S
6. 刷新页面再次核对
7. 进入解析后返回记录页</t>
        </is>
      </c>
      <c r="I6" s="15" t="inlineStr">
        <is>
          <t>所有字段来自交卷时快照和结果；普通记录不混淆计划与实际，缩量记录同时显示P与N；正确率、学习提示、T、S准确且刷新后保持。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27" customHeight="1">
      <c r="A7" s="18" t="inlineStr">
        <is>
          <t>QB-HISTORY-004</t>
        </is>
      </c>
      <c r="B7" s="18" t="inlineStr">
        <is>
          <t>练习记录与入口</t>
        </is>
      </c>
      <c r="C7" s="19" t="inlineStr">
        <is>
          <t>完成记录按交卷时间倒序分页并支持5、10、20条</t>
        </is>
      </c>
      <c r="D7" s="18" t="inlineStr">
        <is>
          <t>P0</t>
        </is>
      </c>
      <c r="E7" s="18" t="inlineStr">
        <is>
          <t>流程</t>
        </is>
      </c>
      <c r="F7" s="19" t="inlineStr">
        <is>
          <t>当前考试有超过20条正常临时练习记录</t>
        </is>
      </c>
      <c r="G7" s="19" t="inlineStr">
        <is>
          <t>多条已知交卷时间；每页数量5、10、20</t>
        </is>
      </c>
      <c r="H7" s="19" t="inlineStr">
        <is>
          <t>1. 进入练习记录记录默认页码和列表顺序作为基线
2. 核对按交卷时间倒序
3. 依次切换每页5、10、20条
4. 每次核对回到第一页和显示条数
5. 翻页并检查重复与遗漏
6. 刷新当前分页
7. 返回试题库后再次进入</t>
        </is>
      </c>
      <c r="I7" s="19" t="inlineStr">
        <is>
          <t>记录倒序稳定；每页数量只允许5、10、20，切换后页码更新为1；翻页、刷新和往返后不重复不遗漏。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27" customHeight="1">
      <c r="A8" s="14" t="inlineStr">
        <is>
          <t>QB-HISTORY-005</t>
        </is>
      </c>
      <c r="B8" s="14" t="inlineStr">
        <is>
          <t>练习记录与入口</t>
        </is>
      </c>
      <c r="C8" s="15" t="inlineStr">
        <is>
          <t>练习本入口保持考试且其历史不进入练习记录</t>
        </is>
      </c>
      <c r="D8" s="14" t="inlineStr">
        <is>
          <t>P0</t>
        </is>
      </c>
      <c r="E8" s="14" t="inlineStr">
        <is>
          <t>流程</t>
        </is>
      </c>
      <c r="F8" s="15" t="inlineStr">
        <is>
          <t>当前顶部为TMUA；学生可创建并完成一份练习本练习</t>
        </is>
      </c>
      <c r="G8" s="15" t="inlineStr">
        <is>
          <t>练习本B；操作前临时记录H、练习本累计G</t>
        </is>
      </c>
      <c r="H8" s="15" t="inlineStr">
        <is>
          <t>1. 在TMUA练习记录记录H作为基线
2. 返回试题库点击练习本
3. 核对进入TMUA练习册并创建或选择B
4. 开始B、完成答题并正式交卷
5. 返回练习本核对G更新
6. 再进入练习记录刷新H
7. 从试题库往返两个入口完成复核</t>
        </is>
      </c>
      <c r="I8" s="15" t="inlineStr">
        <is>
          <t>练习本入口保持TMUA；B交卷后练习本累计增加1，临时练习记录H保持不变；两个入口和历史归属清楚分离。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</sheetData>
  <mergeCells count="2">
    <mergeCell ref="A1:P1"/>
    <mergeCell ref="A2:P2"/>
  </mergeCells>
  <conditionalFormatting sqref="D4:D8">
    <cfRule type="expression" priority="1" dxfId="0">
      <formula>$D4="P0"</formula>
    </cfRule>
    <cfRule type="expression" priority="2" dxfId="1">
      <formula>$D4="P1"</formula>
    </cfRule>
  </conditionalFormatting>
  <conditionalFormatting sqref="J4:J8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8">
    <cfRule type="expression" priority="7" dxfId="2">
      <formula>$K4="是"</formula>
    </cfRule>
    <cfRule type="expression" priority="8" dxfId="0">
      <formula>$K4="否"</formula>
    </cfRule>
  </conditionalFormatting>
  <conditionalFormatting sqref="L4:L8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8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8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8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8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8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8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8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8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8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4.14 试题库人工测试用例 — 内容与权限变化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来源：文档/4-需求文档/4.14 试题库.md｜范围：P0学生端人工回归｜按真实浏览器操作与可观察结果执行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QB-CHANGE-001</t>
        </is>
      </c>
      <c r="B4" s="14" t="inlineStr">
        <is>
          <t>内容与权限变化</t>
        </is>
      </c>
      <c r="C4" s="15" t="inlineStr">
        <is>
          <t>题目发布或归档只影响新的学生题量和选题</t>
        </is>
      </c>
      <c r="D4" s="14" t="inlineStr">
        <is>
          <t>P0</t>
        </is>
      </c>
      <c r="E4" s="14" t="inlineStr">
        <is>
          <t>权限</t>
        </is>
      </c>
      <c r="F4" s="15" t="inlineStr">
        <is>
          <t>考点K某难度已有已发布题；管理员可将题X发布、将题Y归档</t>
        </is>
      </c>
      <c r="G4" s="15" t="inlineStr">
        <is>
          <t>操作前卡片题量Q；X为草稿、Y为已发布且均属于K</t>
        </is>
      </c>
      <c r="H4" s="15" t="inlineStr">
        <is>
          <t>1. 学生在K记录Q作为基线
2. 管理员发布X后学生刷新K
3. 记录题量变化并开始一份新练习
4. 完成或退出该练习后管理员归档Y
5. 学生再次刷新K记录题量
6. 开始另一份新练习并检查题目
7. 对比两次新练习和历史</t>
        </is>
      </c>
      <c r="I4" s="15" t="inlineStr">
        <is>
          <t>发布X后Q增加1并可进入后续选题；归档Y后Q减少1且新练习不再抽到Y；已经形成的记录保持不变。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QB-CHANGE-002</t>
        </is>
      </c>
      <c r="B5" s="18" t="inlineStr">
        <is>
          <t>内容与权限变化</t>
        </is>
      </c>
      <c r="C5" s="19" t="inlineStr">
        <is>
          <t>进行中题目归档后仍可继续并保留原题集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进行中练习R含题X；管理员可归档X</t>
        </is>
      </c>
      <c r="G5" s="19" t="inlineStr">
        <is>
          <t>R的题目顺序S、已保存答案A、已答数量C</t>
        </is>
      </c>
      <c r="H5" s="19" t="inlineStr">
        <is>
          <t>1. 在R记录S、A、C作为基线并返回试题库
2. 管理员归档X
3. 学生刷新试题库并点击继续练习
4. 核对R仍含X及完整S
5. 核对A、C恢复
6. 完成R并正式交卷
7. 从练习记录和解析再次查看X</t>
        </is>
      </c>
      <c r="I5" s="19" t="inlineStr">
        <is>
          <t>归档不改变R的S、A、C，X仍可完成和解析；新练习不再抽取X；历史记录保持。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QB-CHANGE-003</t>
        </is>
      </c>
      <c r="B6" s="14" t="inlineStr">
        <is>
          <t>内容与权限变化</t>
        </is>
      </c>
      <c r="C6" s="15" t="inlineStr">
        <is>
          <t>会员到期只阻止新开始而不删除进行中和历史</t>
        </is>
      </c>
      <c r="D6" s="14" t="inlineStr">
        <is>
          <t>P0</t>
        </is>
      </c>
      <c r="E6" s="14" t="inlineStr">
        <is>
          <t>权限</t>
        </is>
      </c>
      <c r="F6" s="15" t="inlineStr">
        <is>
          <t>会员账号有进行中练习R和历史H，且会员即将到期、免费额度为0</t>
        </is>
      </c>
      <c r="G6" s="15" t="inlineStr">
        <is>
          <t>到期前R、H；当前考试与另一考试权益可区分</t>
        </is>
      </c>
      <c r="H6" s="15" t="inlineStr">
        <is>
          <t>1. 记录R、H和两考试权益作为基线
2. 使当前考试会员到期
3. 从试题库继续R并正式交卷
4. 打开H和R的解析
5. 尝试开始新的专项练习
6. 切换另一考试核对其权益
7. 重新登录后再次核对历史</t>
        </is>
      </c>
      <c r="I6" s="15" t="inlineStr">
        <is>
          <t>R可继续交卷，H及解析保持；新练习因额度0被拒绝并提示开通会员；另一考试权益保持不变。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</sheetData>
  <mergeCells count="2">
    <mergeCell ref="A1:P1"/>
    <mergeCell ref="A2:P2"/>
  </mergeCells>
  <conditionalFormatting sqref="D4:D6">
    <cfRule type="expression" priority="1" dxfId="0">
      <formula>$D4="P0"</formula>
    </cfRule>
    <cfRule type="expression" priority="2" dxfId="1">
      <formula>$D4="P1"</formula>
    </cfRule>
  </conditionalFormatting>
  <conditionalFormatting sqref="J4:J6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6">
    <cfRule type="expression" priority="7" dxfId="2">
      <formula>$K4="是"</formula>
    </cfRule>
    <cfRule type="expression" priority="8" dxfId="0">
      <formula>$K4="否"</formula>
    </cfRule>
  </conditionalFormatting>
  <conditionalFormatting sqref="L4:L6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6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6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6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6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6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6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6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6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6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4.14 试题库人工测试用例 — 异常恢复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来源：文档/4-需求文档/4.14 试题库.md｜范围：P0学生端人工回归｜按真实浏览器操作与可观察结果执行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QB-FAIL-001</t>
        </is>
      </c>
      <c r="B4" s="14" t="inlineStr">
        <is>
          <t>异常恢复</t>
        </is>
      </c>
      <c r="C4" s="15" t="inlineStr">
        <is>
          <t>考纲或题量失败与真实无题状态明确区分并可重试</t>
        </is>
      </c>
      <c r="D4" s="14" t="inlineStr">
        <is>
          <t>P0</t>
        </is>
      </c>
      <c r="E4" s="14" t="inlineStr">
        <is>
          <t>异常</t>
        </is>
      </c>
      <c r="F4" s="15" t="inlineStr">
        <is>
          <t>可分别模拟考纲失败、题量失败；另有真正无已发布题目的考点K0</t>
        </is>
      </c>
      <c r="G4" s="15" t="inlineStr">
        <is>
          <t>场景A考纲失败；B题量失败；C真实空范围K0</t>
        </is>
      </c>
      <c r="H4" s="15" t="inlineStr">
        <is>
          <t>1. 记录当前考试、考纲和题量作为基线
2. 制造考纲失败进入试题库
3. 核对旧考纲和题量已清空、失败原因及重试
4. 恢复后重试并选择有题考点K
5. 制造K题量失败并核对标题保留、题量清空和按钮禁用
6. 恢复后重试成功并选择K0
7. 对比真实暂无题目提示并完成核对</t>
        </is>
      </c>
      <c r="I4" s="15" t="inlineStr">
        <is>
          <t>A、B均显示明确失败和重试且不保留旧可点击数据；恢复后当前范围更新；C只在成功加载后显示真实空态。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QB-FAIL-002</t>
        </is>
      </c>
      <c r="B5" s="18" t="inlineStr">
        <is>
          <t>异常恢复</t>
        </is>
      </c>
      <c r="C5" s="19" t="inlineStr">
        <is>
          <t>开始期间范围变化或资格失效不产生半成品</t>
        </is>
      </c>
      <c r="D5" s="18" t="inlineStr">
        <is>
          <t>P0</t>
        </is>
      </c>
      <c r="E5" s="18" t="inlineStr">
        <is>
          <t>异常</t>
        </is>
      </c>
      <c r="F5" s="19" t="inlineStr">
        <is>
          <t>可在确认期间归档候选题或改变额度；学生无进行中练习</t>
        </is>
      </c>
      <c r="G5" s="19" t="inlineStr">
        <is>
          <t>操作前进行中R=0、历史H、已练U；当前考点K和难度D</t>
        </is>
      </c>
      <c r="H5" s="19" t="inlineStr">
        <is>
          <t>1. 记录R、H、U作为基线
2. 在K、D打开确认弹窗
3. 让候选范围或资格发生变化后点击开始
4. 核对提示返回试题库重新选择
5. 刷新并检查R、H、U
6. 选择新的有效范围重新开始
7. 核对只创建一份完整练习和快照</t>
        </is>
      </c>
      <c r="I5" s="19" t="inlineStr">
        <is>
          <t>失效开始后R、H、U保持不变，没有无题答卷或缺失快照；重新选择后才创建一份可继续练习。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QB-FAIL-003</t>
        </is>
      </c>
      <c r="B6" s="14" t="inlineStr">
        <is>
          <t>异常恢复</t>
        </is>
      </c>
      <c r="C6" s="15" t="inlineStr">
        <is>
          <t>练习记录加载翻页或单条快照异常不导致伪空态白屏</t>
        </is>
      </c>
      <c r="D6" s="14" t="inlineStr">
        <is>
          <t>P0</t>
        </is>
      </c>
      <c r="E6" s="14" t="inlineStr">
        <is>
          <t>异常</t>
        </is>
      </c>
      <c r="F6" s="15" t="inlineStr">
        <is>
          <t>记录页有正常数据；可模拟首次失败、翻页失败和单条快照缺失</t>
        </is>
      </c>
      <c r="G6" s="15" t="inlineStr">
        <is>
          <t>正常列表L、页码P；异常记录X；无记录账号A</t>
        </is>
      </c>
      <c r="H6" s="15" t="inlineStr">
        <is>
          <t>1. 制造首次加载失败进入记录页并核对重试
2. 恢复后加载L并记录P作为基线
3. 制造翻页失败核对L、P和分页器
4. 恢复后进入含X的页面
5. 核对X显示数据异常且其他记录可操作
6. 使用A进入记录页
7. 对比真实暂无临时练习记录和前往试题库入口</t>
        </is>
      </c>
      <c r="I6" s="15" t="inlineStr">
        <is>
          <t>首次失败不伪装空态；翻页失败时L、P和分页器保持；X不拼接假标题且不阻断其他记录；A才显示真实无记录。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</sheetData>
  <mergeCells count="2">
    <mergeCell ref="A1:P1"/>
    <mergeCell ref="A2:P2"/>
  </mergeCells>
  <conditionalFormatting sqref="D4:D6">
    <cfRule type="expression" priority="1" dxfId="0">
      <formula>$D4="P0"</formula>
    </cfRule>
    <cfRule type="expression" priority="2" dxfId="1">
      <formula>$D4="P1"</formula>
    </cfRule>
  </conditionalFormatting>
  <conditionalFormatting sqref="J4:J6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6">
    <cfRule type="expression" priority="7" dxfId="2">
      <formula>$K4="是"</formula>
    </cfRule>
    <cfRule type="expression" priority="8" dxfId="0">
      <formula>$K4="否"</formula>
    </cfRule>
  </conditionalFormatting>
  <conditionalFormatting sqref="L4:L6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6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6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6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6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6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6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6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6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6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2026-08-09T18:31:57Z</dcterms:created>
  <dcterms:modified xmlns:dcterms="http://purl.org/dc/terms/" xmlns:xsi="http://www.w3.org/2001/XMLSchema-instance" xsi:type="dcterms:W3CDTF">2026-08-09T18:31:57Z</dcterms:modified>
</cp:coreProperties>
</file>