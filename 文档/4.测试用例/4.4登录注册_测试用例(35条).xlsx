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HuaweiMoveData\Users\SUZHIXIN\Desktop\"/>
    </mc:Choice>
  </mc:AlternateContent>
  <bookViews>
    <workbookView windowWidth="22188" windowHeight="9060" activeTab="6"/>
  </bookViews>
  <sheets>
    <sheet name="测试说明" sheetId="1" r:id="rId1"/>
    <sheet name="登录" sheetId="2" r:id="rId2"/>
    <sheet name="注册" sheetId="3" r:id="rId3"/>
    <sheet name="邮箱验证码" sheetId="4" r:id="rId4"/>
    <sheet name="忘记密码" sheetId="5" r:id="rId5"/>
    <sheet name="会话与退出" sheetId="6" r:id="rId6"/>
    <sheet name="权限与安全回跳" sheetId="7" r:id="rId7"/>
  </sheets>
  <definedNames>
    <definedName name="_xlnm._FilterDatabase" localSheetId="1" hidden="1">登录!$A$3:$P$8</definedName>
    <definedName name="_xlnm._FilterDatabase" localSheetId="2" hidden="1">注册!$A$3:$P$11</definedName>
    <definedName name="_xlnm._FilterDatabase" localSheetId="3" hidden="1">邮箱验证码!$A$3:$P$7</definedName>
    <definedName name="_xlnm._FilterDatabase" localSheetId="4" hidden="1">忘记密码!$A$3:$P$8</definedName>
    <definedName name="_xlnm._FilterDatabase" localSheetId="5" hidden="1">会话与退出!$A$3:$P$9</definedName>
    <definedName name="_xlnm._FilterDatabase" localSheetId="6" hidden="1">权限与安全回跳!$A$3:$P$10</definedName>
    <definedName name="_xlnm.Print_Titles" localSheetId="1">登录!$1:$3</definedName>
    <definedName name="_xlnm.Print_Titles" localSheetId="2">注册!$1:$3</definedName>
    <definedName name="_xlnm.Print_Titles" localSheetId="3">邮箱验证码!$1:$3</definedName>
    <definedName name="_xlnm.Print_Titles" localSheetId="4">忘记密码!$1:$3</definedName>
    <definedName name="_xlnm.Print_Titles" localSheetId="5">会话与退出!$1:$3</definedName>
    <definedName name="_xlnm.Print_Titles" localSheetId="6">权限与安全回跳!$1:$3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A0BAD49CA1374B91A7ADD466409D7C6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174460" y="3830320"/>
          <a:ext cx="1958340" cy="108458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<sst xmlns="http://schemas.openxmlformats.org/spreadsheetml/2006/main" count="707" uniqueCount="323">
  <si>
    <t>4.4 登录注册人工测试用例</t>
  </si>
  <si>
    <t>用于本轮人工P0检查：以真实页面点击、邮件接收、页面反馈和完整业务流程为主，不重复执行大量输入边界。</t>
  </si>
  <si>
    <t>文档版本</t>
  </si>
  <si>
    <t>V1.2</t>
  </si>
  <si>
    <t>生成日期</t>
  </si>
  <si>
    <t>用例总数</t>
  </si>
  <si>
    <t>需求来源</t>
  </si>
  <si>
    <t>文档/4-需求文档/4.4 登录注册.md</t>
  </si>
  <si>
    <t>默认状态</t>
  </si>
  <si>
    <t>未执行</t>
  </si>
  <si>
    <t>执行原则</t>
  </si>
  <si>
    <t>按用户旅程执行；输入格式和长度边界转入自动化用例。</t>
  </si>
  <si>
    <t>模块覆盖统计</t>
  </si>
  <si>
    <t>模块</t>
  </si>
  <si>
    <t>用例数</t>
  </si>
  <si>
    <t>P0</t>
  </si>
  <si>
    <t>是否通过-是</t>
  </si>
  <si>
    <t>是否通过-否</t>
  </si>
  <si>
    <t>严重缺陷</t>
  </si>
  <si>
    <t>已完成修复</t>
  </si>
  <si>
    <t>回归通过</t>
  </si>
  <si>
    <t>登录</t>
  </si>
  <si>
    <t>注册</t>
  </si>
  <si>
    <t>邮箱验证码</t>
  </si>
  <si>
    <t>忘记密码</t>
  </si>
  <si>
    <t>会话与退出</t>
  </si>
  <si>
    <t>权限与安全回跳</t>
  </si>
  <si>
    <t>合计</t>
  </si>
  <si>
    <t>使用说明</t>
  </si>
  <si>
    <t>执行方式</t>
  </si>
  <si>
    <t>使用真实浏览器按操作步骤完成，重点观察页面反馈、跳转、邮件和账号状态。</t>
  </si>
  <si>
    <t>数据准备</t>
  </si>
  <si>
    <t>每轮准备可用学生/管理员账号、可收邮件邮箱、未注册邮箱及双设备登录环境。</t>
  </si>
  <si>
    <t>判定原则</t>
  </si>
  <si>
    <t>一条用例内的关键步骤全部符合预期才选择是否通过=是。</t>
  </si>
  <si>
    <t>缺陷记录</t>
  </si>
  <si>
    <t>未通过时填写缺陷等级、实际结果；修复后补充修复情况和回归情况。</t>
  </si>
  <si>
    <t>边界校验</t>
  </si>
  <si>
    <t>邮箱格式、用户名长度、密码组合、限流边界等重复数据由自动化用例覆盖。</t>
  </si>
  <si>
    <t>4.4 登录注册人工测试用例｜登录</t>
  </si>
  <si>
    <t>来源：文档/4-需求文档/4.4 登录注册.md　｜　范围：P0基本流程、页面操作与用户可见结果　｜　登录：5 条</t>
  </si>
  <si>
    <t>用例编号</t>
  </si>
  <si>
    <t>功能模块</t>
  </si>
  <si>
    <t>用例标题</t>
  </si>
  <si>
    <t>优先级</t>
  </si>
  <si>
    <t>用例类型</t>
  </si>
  <si>
    <t>前置条件</t>
  </si>
  <si>
    <t>测试数据</t>
  </si>
  <si>
    <t>操作步骤</t>
  </si>
  <si>
    <t>预期结果</t>
  </si>
  <si>
    <t>执行状态</t>
  </si>
  <si>
    <t>是否通过</t>
  </si>
  <si>
    <t>缺陷等级</t>
  </si>
  <si>
    <t>实际结果</t>
  </si>
  <si>
    <t>备注</t>
  </si>
  <si>
    <t>修复情况</t>
  </si>
  <si>
    <t>回归情况</t>
  </si>
  <si>
    <t>LGN-001</t>
  </si>
  <si>
    <t>账号登录</t>
  </si>
  <si>
    <t>使用用户名成功登录</t>
  </si>
  <si>
    <t>功能</t>
  </si>
  <si>
    <t>存在可用学生账号，当前浏览器未登录</t>
  </si>
  <si>
    <t>用户名：qa_student
密码：Test1234</t>
  </si>
  <si>
    <t>1. 打开登录页
2. 输入用户名和密码
3. 勾选协议并点击登录</t>
  </si>
  <si>
    <t>显示登录中状态后进入首页；顶部展示当前账号；当前浏览器建立有效会话。</t>
  </si>
  <si>
    <t>通过</t>
  </si>
  <si>
    <t>是</t>
  </si>
  <si>
    <t/>
  </si>
  <si>
    <t>LGN-002</t>
  </si>
  <si>
    <t>使用注册邮箱成功登录</t>
  </si>
  <si>
    <t>存在绑定邮箱的学生账号，当前浏览器未登录</t>
  </si>
  <si>
    <t>邮箱：QA.Student@Example.COM
密码：Test1234</t>
  </si>
  <si>
    <t>使用注册邮箱完成登录</t>
  </si>
  <si>
    <t>登录成功并进入首页；邮箱大小写差异不影响识别。</t>
  </si>
  <si>
    <t>LGN-003</t>
  </si>
  <si>
    <t>登录回跳</t>
  </si>
  <si>
    <t>从受保护功能登录后返回原页面</t>
  </si>
  <si>
    <t>流程</t>
  </si>
  <si>
    <t>当前浏览器未登录</t>
  </si>
  <si>
    <t>入口：个人中心
目标：/profile?tab=security</t>
  </si>
  <si>
    <t>1. 从个人中心入口进入
2. 在登录页完成登录</t>
  </si>
  <si>
    <t>登录页仅提示一次需要登录；成功后回到完整目标地址；返回键不再次进入登录表单。</t>
  </si>
  <si>
    <t>LGN-004</t>
  </si>
  <si>
    <t>失败提示</t>
  </si>
  <si>
    <t>账号或密码错误时停留登录页</t>
  </si>
  <si>
    <t>异常</t>
  </si>
  <si>
    <t>不存在账号或错误密码</t>
  </si>
  <si>
    <t>输入错误凭证并提交</t>
  </si>
  <si>
    <t>统一提示“用户名、邮箱或密码错误”；不区分具体原因；不进入登录态，账号输入与协议状态保留。</t>
  </si>
  <si>
    <t>LGN-005</t>
  </si>
  <si>
    <t>页面交互</t>
  </si>
  <si>
    <t>协议查看与登录提交状态正确</t>
  </si>
  <si>
    <t>已填写有效账号密码</t>
  </si>
  <si>
    <t>点击协议链接；快速连续点击登录</t>
  </si>
  <si>
    <t>1. 打开协议并返回
2. 勾选协议
3. 快速点击登录按钮</t>
  </si>
  <si>
    <t>协议在新页面打开且输入保留；提交后按钮显示登录中并禁用；页面只产生一次登录结果。</t>
  </si>
  <si>
    <t>4.4 登录注册人工测试用例｜注册</t>
  </si>
  <si>
    <t>来源：文档/4-需求文档/4.4 登录注册.md　｜　范围：P0基本流程、页面操作与用户可见结果　｜　注册：8 条</t>
  </si>
  <si>
    <t>REG-001</t>
  </si>
  <si>
    <t>基础注册</t>
  </si>
  <si>
    <t>不选择备考目标完成注册</t>
  </si>
  <si>
    <t>准备未注册用户名和邮箱</t>
  </si>
  <si>
    <t>用户名：manual_new
邮箱：manual.new@example.com
密码：Test1234</t>
  </si>
  <si>
    <t>1. 获取并填写真实邮箱验证码
2. 填写账号信息并确认协议
3. 不选择考试直接注册</t>
  </si>
  <si>
    <t>注册成功并自动登录；进入无目标首页；不生成默认考试目标或会员权益。</t>
  </si>
  <si>
    <t>REG-002</t>
  </si>
  <si>
    <t>ESAT目标</t>
  </si>
  <si>
    <t>选择ESAT三科完成注册</t>
  </si>
  <si>
    <t>账号信息和验证码有效</t>
  </si>
  <si>
    <t>Mathematics 1 + Biology + Chemistry</t>
  </si>
  <si>
    <t>选择ESAT和恰好三门科目后注册</t>
  </si>
  <si>
    <t>注册成功；首页或个人中心显示已保存的ESAT三科；不显示已开通会员。</t>
  </si>
  <si>
    <t>REG-003</t>
  </si>
  <si>
    <t>TMUA目标</t>
  </si>
  <si>
    <t>选择TMUA完成注册</t>
  </si>
  <si>
    <t>考试：TMUA</t>
  </si>
  <si>
    <t>选择TMUA并完成注册</t>
  </si>
  <si>
    <t>注册成功；TMUA按固定数学目标保存；不生成STEP目标或会员权益。</t>
  </si>
  <si>
    <t>REG-004</t>
  </si>
  <si>
    <t>必填提示</t>
  </si>
  <si>
    <t>缺少必填信息时页面给出明确提示</t>
  </si>
  <si>
    <t>校验</t>
  </si>
  <si>
    <t>注册页已打开</t>
  </si>
  <si>
    <t>依次遗漏：用户名、邮箱、验证码、密码、确认密码、协议</t>
  </si>
  <si>
    <t>每次遗漏一项点击注册</t>
  </si>
  <si>
    <t>停留注册页并在对应位置提示；不会创建账号；其他已填写的普通内容保留。</t>
  </si>
  <si>
    <t>REG-005</t>
  </si>
  <si>
    <t>账号冲突</t>
  </si>
  <si>
    <t>已注册邮箱或用户名给出可理解提示</t>
  </si>
  <si>
    <t>准备已存在的用户名和邮箱</t>
  </si>
  <si>
    <t>existing_user / existing@example.com</t>
  </si>
  <si>
    <t>分别填写已存在用户名、邮箱并获取验证码或提交</t>
  </si>
  <si>
    <t>页面指出冲突字段；邮箱已注册时可引导登录或重置密码；不创建重复账号。</t>
  </si>
  <si>
    <t>REG-006</t>
  </si>
  <si>
    <t>协议确认</t>
  </si>
  <si>
    <t>查看协议后注册草稿继续保留</t>
  </si>
  <si>
    <t>已填写注册草稿</t>
  </si>
  <si>
    <t>《用户服务协议》《隐私政策》</t>
  </si>
  <si>
    <t>分别点击协议链接，返回注册页后继续提交</t>
  </si>
  <si>
    <t>协议在新页面打开；返回后普通注册草稿仍在；勾选当前版本后可以正常注册。</t>
  </si>
  <si>
    <t>REG-007</t>
  </si>
  <si>
    <t>认证切换</t>
  </si>
  <si>
    <t>从注册切换登录时保留原安全目标</t>
  </si>
  <si>
    <t>从错题本进入注册页</t>
  </si>
  <si>
    <t>目标：/wrong-questions?page=2</t>
  </si>
  <si>
    <t>点击去登录并完成登录</t>
  </si>
  <si>
    <t>切换前明确尚未创建账号；原安全目标保留；登录成功后进入错题本对应页面。</t>
  </si>
  <si>
    <t>REG-008</t>
  </si>
  <si>
    <t>提交状态</t>
  </si>
  <si>
    <t>注册提交期间禁止重复操作</t>
  </si>
  <si>
    <t>所有注册信息有效</t>
  </si>
  <si>
    <t>快速连续点击注册，并尝试切换登录或再次获取验证码</t>
  </si>
  <si>
    <t>提交后连续操作</t>
  </si>
  <si>
    <t>按钮显示注册中；注册、切换登录和发送验证码均不可重复操作；最终只创建一个账号。</t>
  </si>
  <si>
    <t>4.4 登录注册人工测试用例｜邮箱验证码</t>
  </si>
  <si>
    <t>来源：文档/4-需求文档/4.4 登录注册.md　｜　范围：P0基本流程、页面操作与用户可见结果　｜　邮箱验证码：4 条</t>
  </si>
  <si>
    <t>EML-001</t>
  </si>
  <si>
    <t>邮件接收</t>
  </si>
  <si>
    <t>注册验证码能够真实发送并完成注册</t>
  </si>
  <si>
    <t>使用可接收邮件的未注册邮箱</t>
  </si>
  <si>
    <t>真实测试邮箱</t>
  </si>
  <si>
    <t>1. 点击获取注册验证码
2. 打开邮箱查收
3. 输入验证码完成注册</t>
  </si>
  <si>
    <t>页面提示查收；邮件在可接受时间内到达；六位验证码可完成当前邮箱的注册。</t>
  </si>
  <si>
    <t>EML-002</t>
  </si>
  <si>
    <t>重新获取</t>
  </si>
  <si>
    <t>验证码倒计时结束后可以重新获取</t>
  </si>
  <si>
    <t>已成功发送一次验证码</t>
  </si>
  <si>
    <t>同一邮箱、同一用途</t>
  </si>
  <si>
    <t>观察60秒倒计时；倒计时结束后再次点击获取</t>
  </si>
  <si>
    <t>倒计时内按钮不可点击；结束后可重新发送并再次收到邮件。</t>
  </si>
  <si>
    <t>EML-003</t>
  </si>
  <si>
    <t>注册邮箱</t>
  </si>
  <si>
    <t>已注册邮箱获取注册码时明确提示</t>
  </si>
  <si>
    <t>准备已注册邮箱</t>
  </si>
  <si>
    <t>existing@example.com</t>
  </si>
  <si>
    <t>在注册页点击获取验证码</t>
  </si>
  <si>
    <t>提示该邮箱已注册并引导登录或忘记密码；不显示注册验证码发送成功。</t>
  </si>
  <si>
    <t>EML-004</t>
  </si>
  <si>
    <t>重置隐私</t>
  </si>
  <si>
    <t>未注册邮箱请求重置码不暴露账号状态</t>
  </si>
  <si>
    <t>安全</t>
  </si>
  <si>
    <t>准备未注册邮箱</t>
  </si>
  <si>
    <t>unknown@example.com</t>
  </si>
  <si>
    <t>在忘记密码模块点击获取验证码</t>
  </si>
  <si>
    <t>页面仍显示统一的“如果该邮箱已注册”文案；不会明确说明邮箱不存在。</t>
  </si>
  <si>
    <t>4.4 登录注册人工测试用例｜忘记密码</t>
  </si>
  <si>
    <t>来源：文档/4-需求文档/4.4 登录注册.md　｜　范围：P0基本流程、页面操作与用户可见结果　｜　忘记密码：5 条</t>
  </si>
  <si>
    <t>RST-001</t>
  </si>
  <si>
    <t>模式切换</t>
  </si>
  <si>
    <t>进入和返回登录时重置草稿被清空</t>
  </si>
  <si>
    <t>登录页带安全目标</t>
  </si>
  <si>
    <t>填写邮箱、验证码、新密码后返回登录</t>
  </si>
  <si>
    <t>1. 进入忘记密码
2. 填写内容
3. 点击返回登录
4. 再次进入</t>
  </si>
  <si>
    <t>邮箱、验证码、密码和倒计时均清空；原安全目标仍保留。</t>
  </si>
  <si>
    <t>RST-002</t>
  </si>
  <si>
    <t>成功重置</t>
  </si>
  <si>
    <t>使用有效验证码重置密码</t>
  </si>
  <si>
    <t>存在注册邮箱并收到有效重置验证码</t>
  </si>
  <si>
    <t>旧密码：Old12345
新密码：New12345</t>
  </si>
  <si>
    <t>提交重置；随后分别使用新旧密码登录</t>
  </si>
  <si>
    <t>提示密码已重置并返回登录；新密码可登录，旧密码不可登录；登录后继续原安全目标。</t>
  </si>
  <si>
    <t>RST-003</t>
  </si>
  <si>
    <t>验证码提示</t>
  </si>
  <si>
    <t>错误或过期验证码给出恢复指引</t>
  </si>
  <si>
    <t>已进入重置模块</t>
  </si>
  <si>
    <t>错误验证码；过期验证码</t>
  </si>
  <si>
    <t>分别提交两组验证码</t>
  </si>
  <si>
    <t>停留当前模块并提示重新输入或重新获取；密码保持不变，不显示成功。</t>
  </si>
  <si>
    <t>失败</t>
  </si>
  <si>
    <t>否</t>
  </si>
  <si>
    <t>提示内容与预期结果不一致，但问题不大</t>
  </si>
  <si>
    <t>RST-004</t>
  </si>
  <si>
    <t>密码确认</t>
  </si>
  <si>
    <t>两次新密码不一致时不能提交</t>
  </si>
  <si>
    <t>邮箱和验证码已填写</t>
  </si>
  <si>
    <t>新密码：New12345
确认密码：New12346</t>
  </si>
  <si>
    <t>点击重置密码</t>
  </si>
  <si>
    <t>确认密码处提示不一致；其他输入保留；不修改密码。</t>
  </si>
  <si>
    <t>RST-005</t>
  </si>
  <si>
    <t>安全提示</t>
  </si>
  <si>
    <t>重置成功后所有旧设备退出</t>
  </si>
  <si>
    <t>同一账号已在两个浏览器登录</t>
  </si>
  <si>
    <t>在第三个浏览器完成密码重置</t>
  </si>
  <si>
    <t>重置后分别在两个旧浏览器访问个人中心</t>
  </si>
  <si>
    <t>两个旧会话均失效并清除个人信息；页面提示重新登录；新密码可建立新会话。</t>
  </si>
  <si>
    <t>4.4 登录注册人工测试用例｜会话与退出</t>
  </si>
  <si>
    <t>来源：文档/4-需求文档/4.4 登录注册.md　｜　范围：P0基本流程、页面操作与用户可见结果　｜　会话与退出：6 条</t>
  </si>
  <si>
    <t>SES-001</t>
  </si>
  <si>
    <t>会话恢复</t>
  </si>
  <si>
    <t>刷新和重新打开站点能够恢复登录</t>
  </si>
  <si>
    <t>当前浏览器已有有效会话</t>
  </si>
  <si>
    <t>登录后刷新页面并重新打开站点</t>
  </si>
  <si>
    <t>观察页面初始化状态</t>
  </si>
  <si>
    <t>直接显示登录态，不闪现登录表单或访客私有入口；账号信息正确。</t>
  </si>
  <si>
    <t>SES-002</t>
  </si>
  <si>
    <t>身份刷新</t>
  </si>
  <si>
    <t>短期身份失效时继续原受保护操作</t>
  </si>
  <si>
    <t>七天空闲会话仍有效，准备可触发身份刷新的环境</t>
  </si>
  <si>
    <t>访问个人中心或错题本</t>
  </si>
  <si>
    <t>触发受保护请求</t>
  </si>
  <si>
    <t>系统自动恢复身份并继续请求，不要求重新输入密码，也不重复跳转。</t>
  </si>
  <si>
    <t>7天空闲么，没看明白</t>
  </si>
  <si>
    <t>SES-003</t>
  </si>
  <si>
    <t>当前退出</t>
  </si>
  <si>
    <t>退出登录清除当前浏览器状态</t>
  </si>
  <si>
    <t>当前浏览器已登录</t>
  </si>
  <si>
    <t>账号菜单→退出登录</t>
  </si>
  <si>
    <t>点击退出后再次访问个人中心</t>
  </si>
  <si>
    <t>返回公开首页并清除个人信息；再次访问个人中心进入登录页。</t>
  </si>
  <si>
    <t>SES-004</t>
  </si>
  <si>
    <t>多设备</t>
  </si>
  <si>
    <t>一个设备退出不影响另一个设备</t>
  </si>
  <si>
    <t>同一账号在浏览器A、B登录</t>
  </si>
  <si>
    <t>A执行退出</t>
  </si>
  <si>
    <t>退出后分别在A、B访问受保护页面</t>
  </si>
  <si>
    <t>A需要重新登录；B仍保持登录且数据正常。</t>
  </si>
  <si>
    <t>SES-005</t>
  </si>
  <si>
    <t>密码撤销</t>
  </si>
  <si>
    <t>修改或重置密码使所有旧会话失效</t>
  </si>
  <si>
    <t>账号在多个浏览器登录</t>
  </si>
  <si>
    <t>完成一次密码修改或重置</t>
  </si>
  <si>
    <t>在所有旧浏览器访问受保护页面</t>
  </si>
  <si>
    <t>所有旧会话在身份校验时退出；页面不再展示个人数据。</t>
  </si>
  <si>
    <t>SES-006</t>
  </si>
  <si>
    <t>会话失效</t>
  </si>
  <si>
    <t>过期或被撤销后显示统一失效提示</t>
  </si>
  <si>
    <t>准备过期或已撤销会话</t>
  </si>
  <si>
    <t>访问任一受保护页面</t>
  </si>
  <si>
    <t>触发身份校验</t>
  </si>
  <si>
    <t>清除当前登录信息，提示“您已失去登录状态，请重新登录！”，随后回到公开首页。</t>
  </si>
  <si>
    <t>怎么让他短时间过期</t>
  </si>
  <si>
    <t>4.4 登录注册人工测试用例｜权限与安全回跳</t>
  </si>
  <si>
    <t>来源：文档/4-需求文档/4.4 登录注册.md　｜　范围：P0基本流程、页面操作与用户可见结果　｜　权限与安全回跳：7 条</t>
  </si>
  <si>
    <t>ACL-001</t>
  </si>
  <si>
    <t>公开页面</t>
  </si>
  <si>
    <t>访客可以浏览公开页面</t>
  </si>
  <si>
    <t>权限</t>
  </si>
  <si>
    <t>首页、考试介绍、协议页、诊断概览、题库概览</t>
  </si>
  <si>
    <t>逐一点击或直接访问</t>
  </si>
  <si>
    <t>均可正常浏览且不强制登录；不展示其他用户个人数据。</t>
  </si>
  <si>
    <t>ACL-002</t>
  </si>
  <si>
    <t>受保护入口</t>
  </si>
  <si>
    <t>访客访问受保护模块统一进入登录</t>
  </si>
  <si>
    <t>开始诊断、开始练习、错题本、报告、个人中心、后台</t>
  </si>
  <si>
    <t>逐一从页面入口访问</t>
  </si>
  <si>
    <t>全部进入登录页并保留对应站内目标；拦截前不创建业务记录；只显示一次登录提示。</t>
  </si>
  <si>
    <t>ACL-003</t>
  </si>
  <si>
    <t>角色权限</t>
  </si>
  <si>
    <t>学生和管理员访问后台结果正确</t>
  </si>
  <si>
    <t>准备学生和管理员账号</t>
  </si>
  <si>
    <t>后台入口</t>
  </si>
  <si>
    <t>分别登录后进入后台</t>
  </si>
  <si>
    <t>学生返回首页且不能进入；管理员可以进入后台；两种结果符合账号身份。</t>
  </si>
  <si>
    <t>ACL-004</t>
  </si>
  <si>
    <t>正常回跳</t>
  </si>
  <si>
    <t>合法站内深层地址登录后恢复</t>
  </si>
  <si>
    <t>从深层受保护页面进入登录</t>
  </si>
  <si>
    <t>目标：/profile?tab=security&amp;from=report</t>
  </si>
  <si>
    <t>完成登录</t>
  </si>
  <si>
    <t>进入完整目标地址并保留查询参数；返回键不再显示已完成的登录页。</t>
  </si>
  <si>
    <t>俺看不懂</t>
  </si>
  <si>
    <t>ACL-005</t>
  </si>
  <si>
    <t>异常回跳</t>
  </si>
  <si>
    <t>外部回跳地址认证后返回首页</t>
  </si>
  <si>
    <t>使用带外部目标的登录链接</t>
  </si>
  <si>
    <t>https://evil.example</t>
  </si>
  <si>
    <t>只进入站内首页，不跳转到外部网站。</t>
  </si>
  <si>
    <t>ACL-006</t>
  </si>
  <si>
    <t>登录注册切换</t>
  </si>
  <si>
    <t>登录与注册切换时原目标继续保留</t>
  </si>
  <si>
    <t>从受保护功能进入登录</t>
  </si>
  <si>
    <t>登录→注册→登录</t>
  </si>
  <si>
    <t>切换两次后完成登录</t>
  </si>
  <si>
    <t>原目标始终保留；成功后进入原功能，不回到认证表单。</t>
  </si>
  <si>
    <t>俺不明白什么叫受保护功能</t>
  </si>
  <si>
    <t>ACL-007</t>
  </si>
  <si>
    <t>认证边界</t>
  </si>
  <si>
    <t>已登录访问认证页和会员内容表现正确</t>
  </si>
  <si>
    <t>普通学生已登录且无会员权益</t>
  </si>
  <si>
    <t>登录页、注册页、会员受限内容</t>
  </si>
  <si>
    <t>逐一访问</t>
  </si>
  <si>
    <t>登录页和注册页直接返回首页；会员内容仍按真实权益限制，不能因登录或选择考试而自动解锁。</t>
  </si>
  <si>
    <t>目前都是免费状态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</si>
</sst>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</numFmts>
  <fonts count="27">
    <font>
      <sz val="11"/>
      <color theme="1"/>
      <name val="宋体"/>
      <charset val="134"/>
      <scheme val="minor"/>
    </font>
    <font>
      <b/>
      <sz val="18"/>
      <color rgb="FFFFFFFF"/>
      <name val="Microsoft YaHei"/>
      <charset val="134"/>
    </font>
    <font>
      <sz val="10"/>
      <color rgb="FF17365D"/>
      <name val="Microsoft YaHei"/>
      <charset val="134"/>
    </font>
    <font>
      <b/>
      <sz val="10"/>
      <color rgb="FFFFFFFF"/>
      <name val="Microsoft YaHei"/>
      <charset val="134"/>
    </font>
    <font>
      <sz val="10"/>
      <color rgb="FF1F2937"/>
      <name val="Microsoft YaHei"/>
      <charset val="134"/>
    </font>
    <font>
      <b/>
      <sz val="12"/>
      <color rgb="FFFFFFFF"/>
      <name val="Microsoft YaHei"/>
      <charset val="134"/>
    </font>
    <font>
      <b/>
      <sz val="10"/>
      <color rgb="FF1F2937"/>
      <name val="Microsoft YaHei"/>
      <charset val="134"/>
    </font>
    <font>
      <b/>
      <sz val="10"/>
      <color rgb="FF17365D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F5F8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5DC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horizontal="center" vertical="center"/>
    </xf>
    <xf numFmtId="0" fontId="4" fillId="6" borderId="0" xfId="0" applyFont="1" applyFill="1" applyAlignment="1">
      <alignment vertical="center" wrapText="1"/>
    </xf>
    <xf numFmtId="176" fontId="4" fillId="6" borderId="0" xfId="0" applyNumberFormat="1" applyFont="1" applyFill="1" applyAlignment="1">
      <alignment vertical="center" wrapText="1"/>
    </xf>
    <xf numFmtId="0" fontId="5" fillId="2" borderId="0" xfId="0" applyFont="1" applyFill="1"/>
    <xf numFmtId="0" fontId="4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0" xfId="0" applyFont="1" applyFill="1"/>
    <xf numFmtId="0" fontId="4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ont>
        <b val="1"/>
        <color rgb="FF9C0006"/>
      </font>
      <fill>
        <patternFill patternType="solid">
          <fgColor rgb="FFFFEB9C"/>
        </patternFill>
      </fill>
    </dxf>
    <dxf>
      <fill>
        <patternFill patternType="solid">
          <fgColor rgb="FFDDEBF7"/>
        </patternFill>
      </fill>
    </dxf>
    <dxf>
      <font>
        <b val="1"/>
        <color rgb="FF006100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75B5"/>
    <pageSetUpPr fitToPage="1"/>
  </sheetPr>
  <dimension ref="A1:I23"/>
  <sheetViews>
    <sheetView showGridLines="0" zoomScale="90" zoomScaleNormal="90" workbookViewId="0">
      <pane ySplit="9" topLeftCell="A16" activePane="bottomLeft" state="frozen"/>
      <selection/>
      <selection pane="bottomLeft" activeCell="A1" sqref="A1:I1"/>
    </sheetView>
  </sheetViews>
  <sheetFormatPr defaultColWidth="9" defaultRowHeight="14.4"/>
  <cols>
    <col min="1" max="1" width="18" customWidth="1"/>
    <col min="2" max="2" width="16" customWidth="1"/>
    <col min="3" max="4" width="14" customWidth="1"/>
    <col min="5" max="8" width="16" customWidth="1"/>
    <col min="9" max="9" width="14" customWidth="1"/>
  </cols>
  <sheetData>
    <row r="1" ht="38" customHeight="1" spans="1:9">
      <c r="A1" s="1" t="s">
        <v>0</v>
      </c>
    </row>
    <row r="2" ht="30" customHeight="1" spans="1:9">
      <c r="A2" s="8" t="s">
        <v>1</v>
      </c>
    </row>
    <row r="4" ht="15.6" spans="1:9">
      <c r="A4" s="9" t="s">
        <v>2</v>
      </c>
      <c r="B4" s="10" t="s">
        <v>3</v>
      </c>
      <c r="D4" s="9" t="s">
        <v>4</v>
      </c>
      <c r="E4" s="11">
        <v>46243</v>
      </c>
      <c r="G4" s="9" t="s">
        <v>5</v>
      </c>
      <c r="H4" s="10">
        <f>SUM(B10:B15)</f>
        <v>35</v>
      </c>
    </row>
    <row r="5" ht="15.6" spans="1:9">
      <c r="A5" s="9" t="s">
        <v>6</v>
      </c>
      <c r="B5" s="10" t="s">
        <v>7</v>
      </c>
      <c r="G5" s="9" t="s">
        <v>8</v>
      </c>
      <c r="H5" s="10" t="s">
        <v>9</v>
      </c>
    </row>
    <row r="6" ht="15.6" spans="1:9">
      <c r="A6" s="9" t="s">
        <v>10</v>
      </c>
      <c r="B6" s="10" t="s">
        <v>11</v>
      </c>
    </row>
    <row r="8" ht="17.4" spans="1:9">
      <c r="A8" s="12" t="s">
        <v>12</v>
      </c>
    </row>
    <row r="9" ht="15.6" spans="1:9">
      <c r="A9" s="3" t="s">
        <v>13</v>
      </c>
      <c r="B9" s="3" t="s">
        <v>14</v>
      </c>
      <c r="C9" s="3" t="s">
        <v>15</v>
      </c>
      <c r="D9" s="3" t="s">
        <v>9</v>
      </c>
      <c r="E9" s="3" t="s">
        <v>16</v>
      </c>
      <c r="F9" s="3" t="s">
        <v>17</v>
      </c>
      <c r="G9" s="3" t="s">
        <v>18</v>
      </c>
      <c r="H9" s="3" t="s">
        <v>19</v>
      </c>
      <c r="I9" s="3" t="s">
        <v>20</v>
      </c>
    </row>
    <row r="10" ht="15" spans="1:9">
      <c r="A10" s="13" t="s">
        <v>21</v>
      </c>
      <c r="B10" s="13">
        <f>COUNTA(登录!$A$4:$A$8)</f>
        <v>5</v>
      </c>
      <c r="C10" s="13">
        <f>COUNTIF(登录!$D$4:$D$8,"P0")</f>
        <v>5</v>
      </c>
      <c r="D10" s="13">
        <f>COUNTIF(登录!$J$4:$J$8,"未执行")</f>
        <v>0</v>
      </c>
      <c r="E10" s="13">
        <f>COUNTIF(登录!$K$4:$K$8,"是")</f>
        <v>5</v>
      </c>
      <c r="F10" s="13">
        <f>COUNTIF(登录!$K$4:$K$8,"否")</f>
        <v>0</v>
      </c>
      <c r="G10" s="13">
        <f>COUNTIF(登录!$L$4:$L$8,"阻塞")+COUNTIF(登录!$L$4:$L$8,"高")</f>
        <v>0</v>
      </c>
      <c r="H10" s="13">
        <f>COUNTIF(登录!$O$4:$O$8,"已完成")</f>
        <v>0</v>
      </c>
      <c r="I10" s="13">
        <f>COUNTIF(登录!$P$4:$P$8,"通过")</f>
        <v>0</v>
      </c>
    </row>
    <row r="11" ht="15" spans="1:9">
      <c r="A11" s="13" t="s">
        <v>22</v>
      </c>
      <c r="B11" s="13">
        <f>COUNTA(注册!$A$4:$A$11)</f>
        <v>8</v>
      </c>
      <c r="C11" s="13">
        <f>COUNTIF(注册!$D$4:$D$11,"P0")</f>
        <v>8</v>
      </c>
      <c r="D11" s="13">
        <f>COUNTIF(注册!$J$4:$J$11,"未执行")</f>
        <v>0</v>
      </c>
      <c r="E11" s="13">
        <f>COUNTIF(注册!$K$4:$K$11,"是")</f>
        <v>8</v>
      </c>
      <c r="F11" s="13">
        <f>COUNTIF(注册!$K$4:$K$11,"否")</f>
        <v>0</v>
      </c>
      <c r="G11" s="13">
        <f>COUNTIF(注册!$L$4:$L$11,"阻塞")+COUNTIF(注册!$L$4:$L$11,"高")</f>
        <v>0</v>
      </c>
      <c r="H11" s="13">
        <f>COUNTIF(注册!$O$4:$O$11,"已完成")</f>
        <v>0</v>
      </c>
      <c r="I11" s="13">
        <f>COUNTIF(注册!$P$4:$P$11,"通过")</f>
        <v>0</v>
      </c>
    </row>
    <row r="12" ht="15" spans="1:9">
      <c r="A12" s="13" t="s">
        <v>23</v>
      </c>
      <c r="B12" s="13">
        <f>COUNTA(邮箱验证码!$A$4:$A$7)</f>
        <v>4</v>
      </c>
      <c r="C12" s="13">
        <f>COUNTIF(邮箱验证码!$D$4:$D$7,"P0")</f>
        <v>4</v>
      </c>
      <c r="D12" s="13">
        <f>COUNTIF(邮箱验证码!$J$4:$J$7,"未执行")</f>
        <v>0</v>
      </c>
      <c r="E12" s="13">
        <f>COUNTIF(邮箱验证码!$K$4:$K$7,"是")</f>
        <v>4</v>
      </c>
      <c r="F12" s="13">
        <f>COUNTIF(邮箱验证码!$K$4:$K$7,"否")</f>
        <v>0</v>
      </c>
      <c r="G12" s="13">
        <f>COUNTIF(邮箱验证码!$L$4:$L$7,"阻塞")+COUNTIF(邮箱验证码!$L$4:$L$7,"高")</f>
        <v>0</v>
      </c>
      <c r="H12" s="13">
        <f>COUNTIF(邮箱验证码!$O$4:$O$7,"已完成")</f>
        <v>0</v>
      </c>
      <c r="I12" s="13">
        <f>COUNTIF(邮箱验证码!$P$4:$P$7,"通过")</f>
        <v>0</v>
      </c>
    </row>
    <row r="13" ht="15" spans="1:9">
      <c r="A13" s="13" t="s">
        <v>24</v>
      </c>
      <c r="B13" s="13">
        <f>COUNTA(忘记密码!$A$4:$A$8)</f>
        <v>5</v>
      </c>
      <c r="C13" s="13">
        <f>COUNTIF(忘记密码!$D$4:$D$8,"P0")</f>
        <v>5</v>
      </c>
      <c r="D13" s="13">
        <f>COUNTIF(忘记密码!$J$4:$J$8,"未执行")</f>
        <v>0</v>
      </c>
      <c r="E13" s="13">
        <f>COUNTIF(忘记密码!$K$4:$K$8,"是")</f>
        <v>4</v>
      </c>
      <c r="F13" s="13">
        <f>COUNTIF(忘记密码!$K$4:$K$8,"否")</f>
        <v>1</v>
      </c>
      <c r="G13" s="13">
        <f>COUNTIF(忘记密码!$L$4:$L$8,"阻塞")+COUNTIF(忘记密码!$L$4:$L$8,"高")</f>
        <v>0</v>
      </c>
      <c r="H13" s="13">
        <f>COUNTIF(忘记密码!$O$4:$O$8,"已完成")</f>
        <v>0</v>
      </c>
      <c r="I13" s="13">
        <f>COUNTIF(忘记密码!$P$4:$P$8,"通过")</f>
        <v>0</v>
      </c>
    </row>
    <row r="14" ht="15" spans="1:9">
      <c r="A14" s="13" t="s">
        <v>25</v>
      </c>
      <c r="B14" s="13">
        <f>COUNTA(会话与退出!$A$4:$A$9)</f>
        <v>6</v>
      </c>
      <c r="C14" s="13">
        <f>COUNTIF(会话与退出!$D$4:$D$9,"P0")</f>
        <v>6</v>
      </c>
      <c r="D14" s="13">
        <f>COUNTIF(会话与退出!$J$4:$J$9,"未执行")</f>
        <v>2</v>
      </c>
      <c r="E14" s="13">
        <f>COUNTIF(会话与退出!$K$4:$K$9,"是")</f>
        <v>4</v>
      </c>
      <c r="F14" s="13">
        <f>COUNTIF(会话与退出!$K$4:$K$9,"否")</f>
        <v>0</v>
      </c>
      <c r="G14" s="13">
        <f>COUNTIF(会话与退出!$L$4:$L$9,"阻塞")+COUNTIF(会话与退出!$L$4:$L$9,"高")</f>
        <v>0</v>
      </c>
      <c r="H14" s="13">
        <f>COUNTIF(会话与退出!$O$4:$O$9,"已完成")</f>
        <v>0</v>
      </c>
      <c r="I14" s="13">
        <f>COUNTIF(会话与退出!$P$4:$P$9,"通过")</f>
        <v>0</v>
      </c>
    </row>
    <row r="15" ht="15" spans="1:9">
      <c r="A15" s="13" t="s">
        <v>26</v>
      </c>
      <c r="B15" s="13">
        <f>COUNTA(权限与安全回跳!$A$4:$A$10)</f>
        <v>7</v>
      </c>
      <c r="C15" s="13">
        <f>COUNTIF(权限与安全回跳!$D$4:$D$10,"P0")</f>
        <v>7</v>
      </c>
      <c r="D15" s="13">
        <f>COUNTIF(权限与安全回跳!$J$4:$J$10,"未执行")</f>
        <v>4</v>
      </c>
      <c r="E15" s="13">
        <f>COUNTIF(权限与安全回跳!$K$4:$K$10,"是")</f>
        <v>3</v>
      </c>
      <c r="F15" s="13">
        <f>COUNTIF(权限与安全回跳!$K$4:$K$10,"否")</f>
        <v>0</v>
      </c>
      <c r="G15" s="13">
        <f>COUNTIF(权限与安全回跳!$L$4:$L$10,"阻塞")+COUNTIF(权限与安全回跳!$L$4:$L$10,"高")</f>
        <v>0</v>
      </c>
      <c r="H15" s="13">
        <f>COUNTIF(权限与安全回跳!$O$4:$O$10,"已完成")</f>
        <v>0</v>
      </c>
      <c r="I15" s="13">
        <f>COUNTIF(权限与安全回跳!$P$4:$P$10,"通过")</f>
        <v>0</v>
      </c>
    </row>
    <row r="16" ht="15.6" spans="1:9">
      <c r="A16" s="14" t="s">
        <v>27</v>
      </c>
      <c r="B16" s="14">
        <f t="shared" ref="B16:I16" si="0">SUM(B10:B15)</f>
        <v>35</v>
      </c>
      <c r="C16" s="14">
        <f t="shared" si="0"/>
        <v>35</v>
      </c>
      <c r="D16" s="14">
        <f t="shared" si="0"/>
        <v>6</v>
      </c>
      <c r="E16" s="14">
        <f t="shared" si="0"/>
        <v>28</v>
      </c>
      <c r="F16" s="14">
        <f t="shared" si="0"/>
        <v>1</v>
      </c>
      <c r="G16" s="14">
        <f t="shared" si="0"/>
        <v>0</v>
      </c>
      <c r="H16" s="14">
        <f t="shared" si="0"/>
        <v>0</v>
      </c>
      <c r="I16" s="14">
        <f t="shared" si="0"/>
        <v>0</v>
      </c>
    </row>
    <row r="18" ht="17.4" spans="1:2">
      <c r="A18" s="12" t="s">
        <v>28</v>
      </c>
    </row>
    <row r="19" ht="30" customHeight="1" spans="1:2">
      <c r="A19" s="15" t="s">
        <v>29</v>
      </c>
      <c r="B19" s="16" t="s">
        <v>30</v>
      </c>
    </row>
    <row r="20" ht="30" customHeight="1" spans="1:2">
      <c r="A20" s="15" t="s">
        <v>31</v>
      </c>
      <c r="B20" s="16" t="s">
        <v>32</v>
      </c>
    </row>
    <row r="21" ht="30" customHeight="1" spans="1:2">
      <c r="A21" s="15" t="s">
        <v>33</v>
      </c>
      <c r="B21" s="16" t="s">
        <v>34</v>
      </c>
    </row>
    <row r="22" ht="30" customHeight="1" spans="1:2">
      <c r="A22" s="15" t="s">
        <v>35</v>
      </c>
      <c r="B22" s="16" t="s">
        <v>36</v>
      </c>
    </row>
    <row r="23" ht="30" customHeight="1" spans="1:2">
      <c r="A23" s="15" t="s">
        <v>37</v>
      </c>
      <c r="B23" s="16" t="s">
        <v>38</v>
      </c>
    </row>
  </sheetData>
  <mergeCells count="15">
    <mergeCell ref="A1:I1"/>
    <mergeCell ref="A2:I2"/>
    <mergeCell ref="B4:C4"/>
    <mergeCell ref="E4:F4"/>
    <mergeCell ref="H4:I4"/>
    <mergeCell ref="B5:F5"/>
    <mergeCell ref="H5:I5"/>
    <mergeCell ref="B6:I6"/>
    <mergeCell ref="A8:I8"/>
    <mergeCell ref="A18:I18"/>
    <mergeCell ref="B19:I19"/>
    <mergeCell ref="B20:I20"/>
    <mergeCell ref="B21:I21"/>
    <mergeCell ref="B22:I22"/>
    <mergeCell ref="B23:I23"/>
  </mergeCells>
  <pageMargins left="0.75" right="0.75" top="1" bottom="1" header="0.5" footer="0.5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75B5"/>
    <pageSetUpPr fitToPage="1"/>
  </sheetPr>
  <dimension ref="A1:P8"/>
  <sheetViews>
    <sheetView showGridLines="0" zoomScale="80" zoomScaleNormal="80" workbookViewId="0">
      <pane xSplit="5" ySplit="3" topLeftCell="G6" activePane="bottomRight" state="frozen"/>
      <selection/>
      <selection pane="topRight"/>
      <selection pane="bottomLeft"/>
      <selection pane="bottomRight" activeCell="H15" sqref="H15"/>
    </sheetView>
  </sheetViews>
  <sheetFormatPr defaultColWidth="9" defaultRowHeight="14.4" outlineLevelRow="7"/>
  <cols>
    <col min="1" max="2" width="16" customWidth="1"/>
    <col min="3" max="3" width="34" customWidth="1"/>
    <col min="4" max="4" width="9" customWidth="1"/>
    <col min="5" max="5" width="12" customWidth="1"/>
    <col min="6" max="6" width="28" customWidth="1"/>
    <col min="7" max="7" width="38" customWidth="1"/>
    <col min="8" max="8" width="44" customWidth="1"/>
    <col min="9" max="9" width="46" customWidth="1"/>
    <col min="10" max="10" width="12" customWidth="1"/>
    <col min="11" max="11" width="10" customWidth="1"/>
    <col min="12" max="12" width="11" customWidth="1"/>
    <col min="13" max="13" width="34" customWidth="1"/>
    <col min="14" max="14" width="28" customWidth="1"/>
    <col min="15" max="15" width="13" customWidth="1"/>
    <col min="16" max="16" width="11" customWidth="1"/>
  </cols>
  <sheetData>
    <row r="1" ht="36" customHeight="1" spans="1:16">
      <c r="A1" s="1" t="s">
        <v>39</v>
      </c>
    </row>
    <row r="2" ht="26" customHeight="1" spans="1:16">
      <c r="A2" s="2" t="s">
        <v>40</v>
      </c>
    </row>
    <row r="3" ht="34" customHeight="1" spans="1:16">
      <c r="A3" s="3" t="s">
        <v>41</v>
      </c>
      <c r="B3" s="3" t="s">
        <v>42</v>
      </c>
      <c r="C3" s="3" t="s">
        <v>43</v>
      </c>
      <c r="D3" s="3" t="s">
        <v>44</v>
      </c>
      <c r="E3" s="3" t="s">
        <v>45</v>
      </c>
      <c r="F3" s="3" t="s">
        <v>46</v>
      </c>
      <c r="G3" s="3" t="s">
        <v>47</v>
      </c>
      <c r="H3" s="3" t="s">
        <v>48</v>
      </c>
      <c r="I3" s="3" t="s">
        <v>49</v>
      </c>
      <c r="J3" s="3" t="s">
        <v>50</v>
      </c>
      <c r="K3" s="3" t="s">
        <v>51</v>
      </c>
      <c r="L3" s="3" t="s">
        <v>52</v>
      </c>
      <c r="M3" s="3" t="s">
        <v>53</v>
      </c>
      <c r="N3" s="3" t="s">
        <v>54</v>
      </c>
      <c r="O3" s="3" t="s">
        <v>55</v>
      </c>
      <c r="P3" s="3" t="s">
        <v>56</v>
      </c>
    </row>
    <row r="4" ht="96" customHeight="1" spans="1:16">
      <c r="A4" s="4" t="s">
        <v>57</v>
      </c>
      <c r="B4" s="5" t="s">
        <v>58</v>
      </c>
      <c r="C4" s="5" t="s">
        <v>59</v>
      </c>
      <c r="D4" s="4" t="s">
        <v>15</v>
      </c>
      <c r="E4" s="4" t="s">
        <v>60</v>
      </c>
      <c r="F4" s="5" t="s">
        <v>61</v>
      </c>
      <c r="G4" s="5" t="s">
        <v>62</v>
      </c>
      <c r="H4" s="5" t="s">
        <v>63</v>
      </c>
      <c r="I4" s="5" t="s">
        <v>64</v>
      </c>
      <c r="J4" s="4" t="s">
        <v>65</v>
      </c>
      <c r="K4" s="6" t="s">
        <v>66</v>
      </c>
      <c r="L4" s="6" t="s">
        <v>67</v>
      </c>
      <c r="M4" s="7" t="s">
        <v>67</v>
      </c>
      <c r="N4" s="7" t="s">
        <v>67</v>
      </c>
      <c r="O4" s="6" t="s">
        <v>67</v>
      </c>
      <c r="P4" s="6" t="s">
        <v>67</v>
      </c>
    </row>
    <row r="5" ht="96" customHeight="1" spans="1:16">
      <c r="A5" s="4" t="s">
        <v>68</v>
      </c>
      <c r="B5" s="5" t="s">
        <v>58</v>
      </c>
      <c r="C5" s="5" t="s">
        <v>69</v>
      </c>
      <c r="D5" s="4" t="s">
        <v>15</v>
      </c>
      <c r="E5" s="4" t="s">
        <v>60</v>
      </c>
      <c r="F5" s="5" t="s">
        <v>70</v>
      </c>
      <c r="G5" s="5" t="s">
        <v>71</v>
      </c>
      <c r="H5" s="5" t="s">
        <v>72</v>
      </c>
      <c r="I5" s="5" t="s">
        <v>73</v>
      </c>
      <c r="J5" s="4" t="s">
        <v>65</v>
      </c>
      <c r="K5" s="6" t="s">
        <v>66</v>
      </c>
      <c r="L5" s="6" t="s">
        <v>67</v>
      </c>
      <c r="M5" s="7" t="s">
        <v>67</v>
      </c>
      <c r="N5" s="7" t="s">
        <v>67</v>
      </c>
      <c r="O5" s="6" t="s">
        <v>67</v>
      </c>
      <c r="P5" s="6" t="s">
        <v>67</v>
      </c>
    </row>
    <row r="6" ht="96" customHeight="1" spans="1:16">
      <c r="A6" s="4" t="s">
        <v>74</v>
      </c>
      <c r="B6" s="5" t="s">
        <v>75</v>
      </c>
      <c r="C6" s="5" t="s">
        <v>76</v>
      </c>
      <c r="D6" s="4" t="s">
        <v>15</v>
      </c>
      <c r="E6" s="4" t="s">
        <v>77</v>
      </c>
      <c r="F6" s="5" t="s">
        <v>78</v>
      </c>
      <c r="G6" s="5" t="s">
        <v>79</v>
      </c>
      <c r="H6" s="5" t="s">
        <v>80</v>
      </c>
      <c r="I6" s="5" t="s">
        <v>81</v>
      </c>
      <c r="J6" s="4" t="s">
        <v>65</v>
      </c>
      <c r="K6" s="6" t="s">
        <v>66</v>
      </c>
      <c r="L6" s="6" t="s">
        <v>67</v>
      </c>
      <c r="M6" s="7" t="s">
        <v>67</v>
      </c>
      <c r="N6" s="7" t="s">
        <v>67</v>
      </c>
      <c r="O6" s="6" t="s">
        <v>67</v>
      </c>
      <c r="P6" s="6" t="s">
        <v>67</v>
      </c>
    </row>
    <row r="7" ht="96" customHeight="1" spans="1:16">
      <c r="A7" s="4" t="s">
        <v>82</v>
      </c>
      <c r="B7" s="5" t="s">
        <v>83</v>
      </c>
      <c r="C7" s="5" t="s">
        <v>84</v>
      </c>
      <c r="D7" s="4" t="s">
        <v>15</v>
      </c>
      <c r="E7" s="4" t="s">
        <v>85</v>
      </c>
      <c r="F7" s="5" t="s">
        <v>78</v>
      </c>
      <c r="G7" s="5" t="s">
        <v>86</v>
      </c>
      <c r="H7" s="5" t="s">
        <v>87</v>
      </c>
      <c r="I7" s="5" t="s">
        <v>88</v>
      </c>
      <c r="J7" s="4" t="s">
        <v>65</v>
      </c>
      <c r="K7" s="6" t="s">
        <v>66</v>
      </c>
      <c r="L7" s="6" t="s">
        <v>67</v>
      </c>
      <c r="M7" s="7" t="s">
        <v>67</v>
      </c>
      <c r="N7" s="7" t="s">
        <v>67</v>
      </c>
      <c r="O7" s="6" t="s">
        <v>67</v>
      </c>
      <c r="P7" s="6" t="s">
        <v>67</v>
      </c>
    </row>
    <row r="8" ht="96" customHeight="1" spans="1:16">
      <c r="A8" s="4" t="s">
        <v>89</v>
      </c>
      <c r="B8" s="5" t="s">
        <v>90</v>
      </c>
      <c r="C8" s="5" t="s">
        <v>91</v>
      </c>
      <c r="D8" s="4" t="s">
        <v>15</v>
      </c>
      <c r="E8" s="4" t="s">
        <v>77</v>
      </c>
      <c r="F8" s="5" t="s">
        <v>92</v>
      </c>
      <c r="G8" s="5" t="s">
        <v>93</v>
      </c>
      <c r="H8" s="5" t="s">
        <v>94</v>
      </c>
      <c r="I8" s="5" t="s">
        <v>95</v>
      </c>
      <c r="J8" s="4" t="s">
        <v>65</v>
      </c>
      <c r="K8" s="6" t="s">
        <v>66</v>
      </c>
      <c r="L8" s="6" t="s">
        <v>67</v>
      </c>
      <c r="M8" s="7" t="s">
        <v>67</v>
      </c>
      <c r="N8" s="7" t="s">
        <v>67</v>
      </c>
      <c r="O8" s="6" t="s">
        <v>67</v>
      </c>
      <c r="P8" s="6" t="s">
        <v>67</v>
      </c>
    </row>
  </sheetData>
  <autoFilter xmlns:etc="http://www.wps.cn/officeDocument/2017/etCustomData" ref="A3:P8" etc:filterBottomFollowUsedRange="0">
    <extLst/>
  </autoFilter>
  <mergeCells count="2">
    <mergeCell ref="A1:P1"/>
    <mergeCell ref="A2:P2"/>
  </mergeCells>
  <conditionalFormatting sqref="D4:D8">
    <cfRule type="expression" dxfId="0" priority="1">
      <formula>$D4="P0"</formula>
    </cfRule>
  </conditionalFormatting>
  <conditionalFormatting sqref="J4:J8">
    <cfRule type="expression" dxfId="1" priority="2">
      <formula>$J4="未执行"</formula>
    </cfRule>
    <cfRule type="expression" dxfId="2" priority="3">
      <formula>$J4="通过"</formula>
    </cfRule>
    <cfRule type="expression" dxfId="3" priority="4">
      <formula>$J4="失败"</formula>
    </cfRule>
    <cfRule type="expression" dxfId="3" priority="5">
      <formula>$J4="阻塞"</formula>
    </cfRule>
    <cfRule type="expression" dxfId="4" priority="6">
      <formula>$J4="不适用"</formula>
    </cfRule>
  </conditionalFormatting>
  <conditionalFormatting sqref="K4:K8">
    <cfRule type="expression" dxfId="2" priority="7">
      <formula>$K4="是"</formula>
    </cfRule>
    <cfRule type="expression" dxfId="3" priority="8">
      <formula>$K4="否"</formula>
    </cfRule>
  </conditionalFormatting>
  <conditionalFormatting sqref="L4:L8">
    <cfRule type="expression" dxfId="3" priority="9">
      <formula>$L4="阻塞"</formula>
    </cfRule>
    <cfRule type="expression" dxfId="3" priority="10">
      <formula>$L4="高"</formula>
    </cfRule>
    <cfRule type="expression" dxfId="5" priority="11">
      <formula>$L4="中"</formula>
    </cfRule>
    <cfRule type="expression" dxfId="1" priority="12">
      <formula>$L4="低"</formula>
    </cfRule>
    <cfRule type="expression" dxfId="4" priority="13">
      <formula>$L4="轻微"</formula>
    </cfRule>
  </conditionalFormatting>
  <conditionalFormatting sqref="O4:O8">
    <cfRule type="expression" dxfId="2" priority="14">
      <formula>$O4="已完成"</formula>
    </cfRule>
    <cfRule type="expression" dxfId="6" priority="15">
      <formula>$O4="待讨论"</formula>
    </cfRule>
    <cfRule type="expression" dxfId="4" priority="16">
      <formula>$O4="暂不修复"</formula>
    </cfRule>
  </conditionalFormatting>
  <conditionalFormatting sqref="P4:P8">
    <cfRule type="expression" dxfId="2" priority="17">
      <formula>$P4="通过"</formula>
    </cfRule>
    <cfRule type="expression" dxfId="3" priority="18">
      <formula>$P4="不通过"</formula>
    </cfRule>
  </conditionalFormatting>
  <dataValidations count="7">
    <dataValidation type="list" allowBlank="1" showInputMessage="1" showErrorMessage="1" errorTitle="选项无效" error="请从下拉列表中选择。" promptTitle="请选择" prompt="选择优先级" sqref="D4:D8">
      <formula1>"P0,P1,P2,P3"</formula1>
    </dataValidation>
    <dataValidation type="list" allowBlank="1" showInputMessage="1" showErrorMessage="1" errorTitle="选项无效" error="请从下拉列表中选择。" promptTitle="请选择" prompt="选择用例类型" sqref="E4:E8">
      <formula1>"功能,流程,校验,权限,安全,异常"</formula1>
    </dataValidation>
    <dataValidation type="list" allowBlank="1" showInputMessage="1" showErrorMessage="1" errorTitle="选项无效" error="请从下拉列表中选择。" promptTitle="请选择" prompt="选择执行状态" sqref="J4:J8">
      <formula1>"未执行,通过,失败,阻塞,不适用"</formula1>
    </dataValidation>
    <dataValidation type="list" allowBlank="1" showInputMessage="1" showErrorMessage="1" errorTitle="选项无效" error="请从下拉列表中选择。" promptTitle="请选择" prompt="选择是否通过" sqref="K4:K8">
      <formula1>"是,否"</formula1>
    </dataValidation>
    <dataValidation type="list" allowBlank="1" showInputMessage="1" showErrorMessage="1" errorTitle="选项无效" error="请从下拉列表中选择。" promptTitle="请选择" prompt="选择缺陷等级" sqref="L4:L8">
      <formula1>"阻塞,高,中,低,轻微"</formula1>
    </dataValidation>
    <dataValidation type="list" allowBlank="1" showInputMessage="1" showErrorMessage="1" errorTitle="选项无效" error="请从下拉列表中选择。" promptTitle="请选择" prompt="选择修复情况" sqref="O4:O8">
      <formula1>"已完成,待讨论,暂不修复"</formula1>
    </dataValidation>
    <dataValidation type="list" allowBlank="1" showInputMessage="1" showErrorMessage="1" errorTitle="选项无效" error="请从下拉列表中选择。" promptTitle="请选择" prompt="选择回归情况" sqref="P4:P8">
      <formula1>"通过,不通过"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75B5"/>
    <pageSetUpPr fitToPage="1"/>
  </sheetPr>
  <dimension ref="A1:P11"/>
  <sheetViews>
    <sheetView showGridLines="0" zoomScale="80" zoomScaleNormal="80" workbookViewId="0">
      <pane xSplit="5" ySplit="3" topLeftCell="G8" activePane="bottomRight" state="frozen"/>
      <selection/>
      <selection pane="topRight"/>
      <selection pane="bottomLeft"/>
      <selection pane="bottomRight" activeCell="M11" sqref="M11"/>
    </sheetView>
  </sheetViews>
  <sheetFormatPr defaultColWidth="9" defaultRowHeight="14.4"/>
  <cols>
    <col min="1" max="2" width="16" customWidth="1"/>
    <col min="3" max="3" width="34" customWidth="1"/>
    <col min="4" max="4" width="9" customWidth="1"/>
    <col min="5" max="5" width="12" customWidth="1"/>
    <col min="6" max="6" width="28" customWidth="1"/>
    <col min="7" max="7" width="38" customWidth="1"/>
    <col min="8" max="8" width="44" customWidth="1"/>
    <col min="9" max="9" width="46" customWidth="1"/>
    <col min="10" max="10" width="12" customWidth="1"/>
    <col min="11" max="11" width="10" customWidth="1"/>
    <col min="12" max="12" width="11" customWidth="1"/>
    <col min="13" max="13" width="34" customWidth="1"/>
    <col min="14" max="14" width="28" customWidth="1"/>
    <col min="15" max="15" width="13" customWidth="1"/>
    <col min="16" max="16" width="11" customWidth="1"/>
  </cols>
  <sheetData>
    <row r="1" ht="36" customHeight="1" spans="1:16">
      <c r="A1" s="1" t="s">
        <v>96</v>
      </c>
    </row>
    <row r="2" ht="26" customHeight="1" spans="1:16">
      <c r="A2" s="2" t="s">
        <v>97</v>
      </c>
    </row>
    <row r="3" ht="34" customHeight="1" spans="1:16">
      <c r="A3" s="3" t="s">
        <v>41</v>
      </c>
      <c r="B3" s="3" t="s">
        <v>42</v>
      </c>
      <c r="C3" s="3" t="s">
        <v>43</v>
      </c>
      <c r="D3" s="3" t="s">
        <v>44</v>
      </c>
      <c r="E3" s="3" t="s">
        <v>45</v>
      </c>
      <c r="F3" s="3" t="s">
        <v>46</v>
      </c>
      <c r="G3" s="3" t="s">
        <v>47</v>
      </c>
      <c r="H3" s="3" t="s">
        <v>48</v>
      </c>
      <c r="I3" s="3" t="s">
        <v>49</v>
      </c>
      <c r="J3" s="3" t="s">
        <v>50</v>
      </c>
      <c r="K3" s="3" t="s">
        <v>51</v>
      </c>
      <c r="L3" s="3" t="s">
        <v>52</v>
      </c>
      <c r="M3" s="3" t="s">
        <v>53</v>
      </c>
      <c r="N3" s="3" t="s">
        <v>54</v>
      </c>
      <c r="O3" s="3" t="s">
        <v>55</v>
      </c>
      <c r="P3" s="3" t="s">
        <v>56</v>
      </c>
    </row>
    <row r="4" ht="96" customHeight="1" spans="1:16">
      <c r="A4" s="4" t="s">
        <v>98</v>
      </c>
      <c r="B4" s="5" t="s">
        <v>99</v>
      </c>
      <c r="C4" s="5" t="s">
        <v>100</v>
      </c>
      <c r="D4" s="4" t="s">
        <v>15</v>
      </c>
      <c r="E4" s="4" t="s">
        <v>60</v>
      </c>
      <c r="F4" s="5" t="s">
        <v>101</v>
      </c>
      <c r="G4" s="5" t="s">
        <v>102</v>
      </c>
      <c r="H4" s="5" t="s">
        <v>103</v>
      </c>
      <c r="I4" s="5" t="s">
        <v>104</v>
      </c>
      <c r="J4" s="4" t="s">
        <v>65</v>
      </c>
      <c r="K4" s="6" t="s">
        <v>66</v>
      </c>
      <c r="L4" s="6" t="s">
        <v>67</v>
      </c>
      <c r="M4" s="7" t="s">
        <v>67</v>
      </c>
      <c r="N4" s="7" t="s">
        <v>67</v>
      </c>
      <c r="O4" s="6" t="s">
        <v>67</v>
      </c>
      <c r="P4" s="6" t="s">
        <v>67</v>
      </c>
    </row>
    <row r="5" ht="96" customHeight="1" spans="1:16">
      <c r="A5" s="4" t="s">
        <v>105</v>
      </c>
      <c r="B5" s="5" t="s">
        <v>106</v>
      </c>
      <c r="C5" s="5" t="s">
        <v>107</v>
      </c>
      <c r="D5" s="4" t="s">
        <v>15</v>
      </c>
      <c r="E5" s="4" t="s">
        <v>60</v>
      </c>
      <c r="F5" s="5" t="s">
        <v>108</v>
      </c>
      <c r="G5" s="5" t="s">
        <v>109</v>
      </c>
      <c r="H5" s="5" t="s">
        <v>110</v>
      </c>
      <c r="I5" s="5" t="s">
        <v>111</v>
      </c>
      <c r="J5" s="4" t="s">
        <v>65</v>
      </c>
      <c r="K5" s="6" t="s">
        <v>66</v>
      </c>
      <c r="L5" s="6" t="s">
        <v>67</v>
      </c>
      <c r="M5" s="7" t="s">
        <v>67</v>
      </c>
      <c r="N5" s="7" t="s">
        <v>67</v>
      </c>
      <c r="O5" s="6" t="s">
        <v>67</v>
      </c>
      <c r="P5" s="6" t="s">
        <v>67</v>
      </c>
    </row>
    <row r="6" ht="96" customHeight="1" spans="1:16">
      <c r="A6" s="4" t="s">
        <v>112</v>
      </c>
      <c r="B6" s="5" t="s">
        <v>113</v>
      </c>
      <c r="C6" s="5" t="s">
        <v>114</v>
      </c>
      <c r="D6" s="4" t="s">
        <v>15</v>
      </c>
      <c r="E6" s="4" t="s">
        <v>60</v>
      </c>
      <c r="F6" s="5" t="s">
        <v>108</v>
      </c>
      <c r="G6" s="5" t="s">
        <v>115</v>
      </c>
      <c r="H6" s="5" t="s">
        <v>116</v>
      </c>
      <c r="I6" s="5" t="s">
        <v>117</v>
      </c>
      <c r="J6" s="4" t="s">
        <v>65</v>
      </c>
      <c r="K6" s="6" t="s">
        <v>66</v>
      </c>
      <c r="L6" s="6" t="s">
        <v>67</v>
      </c>
      <c r="M6" s="7" t="s">
        <v>67</v>
      </c>
      <c r="N6" s="7" t="s">
        <v>67</v>
      </c>
      <c r="O6" s="6" t="s">
        <v>67</v>
      </c>
      <c r="P6" s="6" t="s">
        <v>67</v>
      </c>
    </row>
    <row r="7" ht="96" customHeight="1" spans="1:16">
      <c r="A7" s="4" t="s">
        <v>118</v>
      </c>
      <c r="B7" s="5" t="s">
        <v>119</v>
      </c>
      <c r="C7" s="5" t="s">
        <v>120</v>
      </c>
      <c r="D7" s="4" t="s">
        <v>15</v>
      </c>
      <c r="E7" s="4" t="s">
        <v>121</v>
      </c>
      <c r="F7" s="5" t="s">
        <v>122</v>
      </c>
      <c r="G7" s="5" t="s">
        <v>123</v>
      </c>
      <c r="H7" s="5" t="s">
        <v>124</v>
      </c>
      <c r="I7" s="5" t="s">
        <v>125</v>
      </c>
      <c r="J7" s="4" t="s">
        <v>65</v>
      </c>
      <c r="K7" s="6" t="s">
        <v>66</v>
      </c>
      <c r="L7" s="6" t="s">
        <v>67</v>
      </c>
      <c r="M7" s="7" t="s">
        <v>67</v>
      </c>
      <c r="N7" s="7" t="s">
        <v>67</v>
      </c>
      <c r="O7" s="6" t="s">
        <v>67</v>
      </c>
      <c r="P7" s="6" t="s">
        <v>67</v>
      </c>
    </row>
    <row r="8" ht="96" customHeight="1" spans="1:16">
      <c r="A8" s="4" t="s">
        <v>126</v>
      </c>
      <c r="B8" s="5" t="s">
        <v>127</v>
      </c>
      <c r="C8" s="5" t="s">
        <v>128</v>
      </c>
      <c r="D8" s="4" t="s">
        <v>15</v>
      </c>
      <c r="E8" s="4" t="s">
        <v>85</v>
      </c>
      <c r="F8" s="5" t="s">
        <v>129</v>
      </c>
      <c r="G8" s="5" t="s">
        <v>130</v>
      </c>
      <c r="H8" s="5" t="s">
        <v>131</v>
      </c>
      <c r="I8" s="5" t="s">
        <v>132</v>
      </c>
      <c r="J8" s="4" t="s">
        <v>65</v>
      </c>
      <c r="K8" s="6" t="s">
        <v>66</v>
      </c>
      <c r="L8" s="6" t="s">
        <v>67</v>
      </c>
      <c r="M8" s="7" t="s">
        <v>67</v>
      </c>
      <c r="N8" s="7" t="s">
        <v>67</v>
      </c>
      <c r="O8" s="6" t="s">
        <v>67</v>
      </c>
      <c r="P8" s="6" t="s">
        <v>67</v>
      </c>
    </row>
    <row r="9" ht="96" customHeight="1" spans="1:16">
      <c r="A9" s="4" t="s">
        <v>133</v>
      </c>
      <c r="B9" s="5" t="s">
        <v>134</v>
      </c>
      <c r="C9" s="5" t="s">
        <v>135</v>
      </c>
      <c r="D9" s="4" t="s">
        <v>15</v>
      </c>
      <c r="E9" s="4" t="s">
        <v>77</v>
      </c>
      <c r="F9" s="5" t="s">
        <v>136</v>
      </c>
      <c r="G9" s="5" t="s">
        <v>137</v>
      </c>
      <c r="H9" s="5" t="s">
        <v>138</v>
      </c>
      <c r="I9" s="5" t="s">
        <v>139</v>
      </c>
      <c r="J9" s="4" t="s">
        <v>65</v>
      </c>
      <c r="K9" s="6" t="s">
        <v>66</v>
      </c>
      <c r="L9" s="6" t="s">
        <v>67</v>
      </c>
      <c r="M9" s="7" t="s">
        <v>67</v>
      </c>
      <c r="N9" s="7" t="s">
        <v>67</v>
      </c>
      <c r="O9" s="6" t="s">
        <v>67</v>
      </c>
      <c r="P9" s="6" t="s">
        <v>67</v>
      </c>
    </row>
    <row r="10" ht="96" customHeight="1" spans="1:16">
      <c r="A10" s="4" t="s">
        <v>140</v>
      </c>
      <c r="B10" s="5" t="s">
        <v>141</v>
      </c>
      <c r="C10" s="5" t="s">
        <v>142</v>
      </c>
      <c r="D10" s="4" t="s">
        <v>15</v>
      </c>
      <c r="E10" s="4" t="s">
        <v>77</v>
      </c>
      <c r="F10" s="5" t="s">
        <v>143</v>
      </c>
      <c r="G10" s="5" t="s">
        <v>144</v>
      </c>
      <c r="H10" s="5" t="s">
        <v>145</v>
      </c>
      <c r="I10" s="5" t="s">
        <v>146</v>
      </c>
      <c r="J10" s="4" t="s">
        <v>65</v>
      </c>
      <c r="K10" s="6" t="s">
        <v>66</v>
      </c>
      <c r="L10" s="6" t="s">
        <v>67</v>
      </c>
      <c r="M10" s="7" t="s">
        <v>67</v>
      </c>
      <c r="N10" s="7" t="s">
        <v>67</v>
      </c>
      <c r="O10" s="6" t="s">
        <v>67</v>
      </c>
      <c r="P10" s="6" t="s">
        <v>67</v>
      </c>
    </row>
    <row r="11" ht="96" customHeight="1" spans="1:16">
      <c r="A11" s="4" t="s">
        <v>147</v>
      </c>
      <c r="B11" s="5" t="s">
        <v>148</v>
      </c>
      <c r="C11" s="5" t="s">
        <v>149</v>
      </c>
      <c r="D11" s="4" t="s">
        <v>15</v>
      </c>
      <c r="E11" s="4" t="s">
        <v>77</v>
      </c>
      <c r="F11" s="5" t="s">
        <v>150</v>
      </c>
      <c r="G11" s="5" t="s">
        <v>151</v>
      </c>
      <c r="H11" s="5" t="s">
        <v>152</v>
      </c>
      <c r="I11" s="5" t="s">
        <v>153</v>
      </c>
      <c r="J11" s="4" t="s">
        <v>65</v>
      </c>
      <c r="K11" s="6" t="s">
        <v>66</v>
      </c>
      <c r="L11" s="6" t="s">
        <v>67</v>
      </c>
      <c r="M11" s="7" t="s">
        <v>67</v>
      </c>
      <c r="N11" s="7" t="s">
        <v>67</v>
      </c>
      <c r="O11" s="6" t="s">
        <v>67</v>
      </c>
      <c r="P11" s="6" t="s">
        <v>67</v>
      </c>
    </row>
  </sheetData>
  <autoFilter xmlns:etc="http://www.wps.cn/officeDocument/2017/etCustomData" ref="A3:P11" etc:filterBottomFollowUsedRange="0">
    <extLst/>
  </autoFilter>
  <mergeCells count="2">
    <mergeCell ref="A1:P1"/>
    <mergeCell ref="A2:P2"/>
  </mergeCells>
  <conditionalFormatting sqref="D4:D11">
    <cfRule type="expression" dxfId="0" priority="1">
      <formula>$D4="P0"</formula>
    </cfRule>
  </conditionalFormatting>
  <conditionalFormatting sqref="J4:J11">
    <cfRule type="expression" dxfId="1" priority="2">
      <formula>$J4="未执行"</formula>
    </cfRule>
    <cfRule type="expression" dxfId="2" priority="3">
      <formula>$J4="通过"</formula>
    </cfRule>
    <cfRule type="expression" dxfId="3" priority="4">
      <formula>$J4="失败"</formula>
    </cfRule>
    <cfRule type="expression" dxfId="3" priority="5">
      <formula>$J4="阻塞"</formula>
    </cfRule>
    <cfRule type="expression" dxfId="4" priority="6">
      <formula>$J4="不适用"</formula>
    </cfRule>
  </conditionalFormatting>
  <conditionalFormatting sqref="K4:K11">
    <cfRule type="expression" dxfId="2" priority="7">
      <formula>$K4="是"</formula>
    </cfRule>
    <cfRule type="expression" dxfId="3" priority="8">
      <formula>$K4="否"</formula>
    </cfRule>
  </conditionalFormatting>
  <conditionalFormatting sqref="L4:L11">
    <cfRule type="expression" dxfId="3" priority="9">
      <formula>$L4="阻塞"</formula>
    </cfRule>
    <cfRule type="expression" dxfId="3" priority="10">
      <formula>$L4="高"</formula>
    </cfRule>
    <cfRule type="expression" dxfId="5" priority="11">
      <formula>$L4="中"</formula>
    </cfRule>
    <cfRule type="expression" dxfId="1" priority="12">
      <formula>$L4="低"</formula>
    </cfRule>
    <cfRule type="expression" dxfId="4" priority="13">
      <formula>$L4="轻微"</formula>
    </cfRule>
  </conditionalFormatting>
  <conditionalFormatting sqref="O4:O11">
    <cfRule type="expression" dxfId="2" priority="14">
      <formula>$O4="已完成"</formula>
    </cfRule>
    <cfRule type="expression" dxfId="6" priority="15">
      <formula>$O4="待讨论"</formula>
    </cfRule>
    <cfRule type="expression" dxfId="4" priority="16">
      <formula>$O4="暂不修复"</formula>
    </cfRule>
  </conditionalFormatting>
  <conditionalFormatting sqref="P4:P11">
    <cfRule type="expression" dxfId="2" priority="17">
      <formula>$P4="通过"</formula>
    </cfRule>
    <cfRule type="expression" dxfId="3" priority="18">
      <formula>$P4="不通过"</formula>
    </cfRule>
  </conditionalFormatting>
  <dataValidations count="7">
    <dataValidation type="list" allowBlank="1" showInputMessage="1" showErrorMessage="1" errorTitle="选项无效" error="请从下拉列表中选择。" promptTitle="请选择" prompt="选择优先级" sqref="D4:D11">
      <formula1>"P0,P1,P2,P3"</formula1>
    </dataValidation>
    <dataValidation type="list" allowBlank="1" showInputMessage="1" showErrorMessage="1" errorTitle="选项无效" error="请从下拉列表中选择。" promptTitle="请选择" prompt="选择用例类型" sqref="E4:E11">
      <formula1>"功能,流程,校验,权限,安全,异常"</formula1>
    </dataValidation>
    <dataValidation type="list" allowBlank="1" showInputMessage="1" showErrorMessage="1" errorTitle="选项无效" error="请从下拉列表中选择。" promptTitle="请选择" prompt="选择执行状态" sqref="J4:J11">
      <formula1>"未执行,通过,失败,阻塞,不适用"</formula1>
    </dataValidation>
    <dataValidation type="list" allowBlank="1" showInputMessage="1" showErrorMessage="1" errorTitle="选项无效" error="请从下拉列表中选择。" promptTitle="请选择" prompt="选择是否通过" sqref="K4:K11">
      <formula1>"是,否"</formula1>
    </dataValidation>
    <dataValidation type="list" allowBlank="1" showInputMessage="1" showErrorMessage="1" errorTitle="选项无效" error="请从下拉列表中选择。" promptTitle="请选择" prompt="选择缺陷等级" sqref="L4:L11">
      <formula1>"阻塞,高,中,低,轻微"</formula1>
    </dataValidation>
    <dataValidation type="list" allowBlank="1" showInputMessage="1" showErrorMessage="1" errorTitle="选项无效" error="请从下拉列表中选择。" promptTitle="请选择" prompt="选择修复情况" sqref="O4:O11">
      <formula1>"已完成,待讨论,暂不修复"</formula1>
    </dataValidation>
    <dataValidation type="list" allowBlank="1" showInputMessage="1" showErrorMessage="1" errorTitle="选项无效" error="请从下拉列表中选择。" promptTitle="请选择" prompt="选择回归情况" sqref="P4:P11">
      <formula1>"通过,不通过"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75B5"/>
    <pageSetUpPr fitToPage="1"/>
  </sheetPr>
  <dimension ref="A1:P7"/>
  <sheetViews>
    <sheetView showGridLines="0" zoomScale="80" zoomScaleNormal="80" workbookViewId="0">
      <pane xSplit="5" ySplit="3" topLeftCell="F4" activePane="bottomRight" state="frozen"/>
      <selection/>
      <selection pane="topRight"/>
      <selection pane="bottomLeft"/>
      <selection pane="bottomRight" activeCell="K7" sqref="K7"/>
    </sheetView>
  </sheetViews>
  <sheetFormatPr defaultColWidth="9" defaultRowHeight="14.4" outlineLevelRow="6"/>
  <cols>
    <col min="1" max="2" width="16" customWidth="1"/>
    <col min="3" max="3" width="34" customWidth="1"/>
    <col min="4" max="4" width="9" customWidth="1"/>
    <col min="5" max="5" width="12" customWidth="1"/>
    <col min="6" max="6" width="28" customWidth="1"/>
    <col min="7" max="7" width="38" customWidth="1"/>
    <col min="8" max="8" width="44" customWidth="1"/>
    <col min="9" max="9" width="46" customWidth="1"/>
    <col min="10" max="10" width="12" customWidth="1"/>
    <col min="11" max="11" width="10" customWidth="1"/>
    <col min="12" max="12" width="11" customWidth="1"/>
    <col min="13" max="13" width="34" customWidth="1"/>
    <col min="14" max="14" width="28" customWidth="1"/>
    <col min="15" max="15" width="13" customWidth="1"/>
    <col min="16" max="16" width="11" customWidth="1"/>
  </cols>
  <sheetData>
    <row r="1" ht="36" customHeight="1" spans="1:16">
      <c r="A1" s="1" t="s">
        <v>154</v>
      </c>
    </row>
    <row r="2" ht="26" customHeight="1" spans="1:16">
      <c r="A2" s="2" t="s">
        <v>155</v>
      </c>
    </row>
    <row r="3" ht="34" customHeight="1" spans="1:16">
      <c r="A3" s="3" t="s">
        <v>41</v>
      </c>
      <c r="B3" s="3" t="s">
        <v>42</v>
      </c>
      <c r="C3" s="3" t="s">
        <v>43</v>
      </c>
      <c r="D3" s="3" t="s">
        <v>44</v>
      </c>
      <c r="E3" s="3" t="s">
        <v>45</v>
      </c>
      <c r="F3" s="3" t="s">
        <v>46</v>
      </c>
      <c r="G3" s="3" t="s">
        <v>47</v>
      </c>
      <c r="H3" s="3" t="s">
        <v>48</v>
      </c>
      <c r="I3" s="3" t="s">
        <v>49</v>
      </c>
      <c r="J3" s="3" t="s">
        <v>50</v>
      </c>
      <c r="K3" s="3" t="s">
        <v>51</v>
      </c>
      <c r="L3" s="3" t="s">
        <v>52</v>
      </c>
      <c r="M3" s="3" t="s">
        <v>53</v>
      </c>
      <c r="N3" s="3" t="s">
        <v>54</v>
      </c>
      <c r="O3" s="3" t="s">
        <v>55</v>
      </c>
      <c r="P3" s="3" t="s">
        <v>56</v>
      </c>
    </row>
    <row r="4" ht="96" customHeight="1" spans="1:16">
      <c r="A4" s="4" t="s">
        <v>156</v>
      </c>
      <c r="B4" s="5" t="s">
        <v>157</v>
      </c>
      <c r="C4" s="5" t="s">
        <v>158</v>
      </c>
      <c r="D4" s="4" t="s">
        <v>15</v>
      </c>
      <c r="E4" s="4" t="s">
        <v>60</v>
      </c>
      <c r="F4" s="5" t="s">
        <v>159</v>
      </c>
      <c r="G4" s="5" t="s">
        <v>160</v>
      </c>
      <c r="H4" s="5" t="s">
        <v>161</v>
      </c>
      <c r="I4" s="5" t="s">
        <v>162</v>
      </c>
      <c r="J4" s="4" t="s">
        <v>65</v>
      </c>
      <c r="K4" s="6" t="s">
        <v>66</v>
      </c>
      <c r="L4" s="6" t="s">
        <v>67</v>
      </c>
      <c r="M4" s="7" t="s">
        <v>67</v>
      </c>
      <c r="N4" s="7" t="s">
        <v>67</v>
      </c>
      <c r="O4" s="6" t="s">
        <v>67</v>
      </c>
      <c r="P4" s="6" t="s">
        <v>67</v>
      </c>
    </row>
    <row r="5" ht="96" customHeight="1" spans="1:16">
      <c r="A5" s="4" t="s">
        <v>163</v>
      </c>
      <c r="B5" s="5" t="s">
        <v>164</v>
      </c>
      <c r="C5" s="5" t="s">
        <v>165</v>
      </c>
      <c r="D5" s="4" t="s">
        <v>15</v>
      </c>
      <c r="E5" s="4" t="s">
        <v>77</v>
      </c>
      <c r="F5" s="5" t="s">
        <v>166</v>
      </c>
      <c r="G5" s="5" t="s">
        <v>167</v>
      </c>
      <c r="H5" s="5" t="s">
        <v>168</v>
      </c>
      <c r="I5" s="5" t="s">
        <v>169</v>
      </c>
      <c r="J5" s="4" t="s">
        <v>65</v>
      </c>
      <c r="K5" s="6" t="s">
        <v>66</v>
      </c>
      <c r="L5" s="6" t="s">
        <v>67</v>
      </c>
      <c r="M5" s="7" t="s">
        <v>67</v>
      </c>
      <c r="N5" s="7" t="s">
        <v>67</v>
      </c>
      <c r="O5" s="6" t="s">
        <v>67</v>
      </c>
      <c r="P5" s="6" t="s">
        <v>67</v>
      </c>
    </row>
    <row r="6" ht="96" customHeight="1" spans="1:16">
      <c r="A6" s="4" t="s">
        <v>170</v>
      </c>
      <c r="B6" s="5" t="s">
        <v>171</v>
      </c>
      <c r="C6" s="5" t="s">
        <v>172</v>
      </c>
      <c r="D6" s="4" t="s">
        <v>15</v>
      </c>
      <c r="E6" s="4" t="s">
        <v>85</v>
      </c>
      <c r="F6" s="5" t="s">
        <v>173</v>
      </c>
      <c r="G6" s="5" t="s">
        <v>174</v>
      </c>
      <c r="H6" s="5" t="s">
        <v>175</v>
      </c>
      <c r="I6" s="5" t="s">
        <v>176</v>
      </c>
      <c r="J6" s="4" t="s">
        <v>65</v>
      </c>
      <c r="K6" s="6" t="s">
        <v>66</v>
      </c>
      <c r="L6" s="6" t="s">
        <v>67</v>
      </c>
      <c r="M6" s="7" t="s">
        <v>67</v>
      </c>
      <c r="N6" s="7" t="s">
        <v>67</v>
      </c>
      <c r="O6" s="6" t="s">
        <v>67</v>
      </c>
      <c r="P6" s="6" t="s">
        <v>67</v>
      </c>
    </row>
    <row r="7" ht="96" customHeight="1" spans="1:16">
      <c r="A7" s="4" t="s">
        <v>177</v>
      </c>
      <c r="B7" s="5" t="s">
        <v>178</v>
      </c>
      <c r="C7" s="5" t="s">
        <v>179</v>
      </c>
      <c r="D7" s="4" t="s">
        <v>15</v>
      </c>
      <c r="E7" s="4" t="s">
        <v>180</v>
      </c>
      <c r="F7" s="5" t="s">
        <v>181</v>
      </c>
      <c r="G7" s="5" t="s">
        <v>182</v>
      </c>
      <c r="H7" s="5" t="s">
        <v>183</v>
      </c>
      <c r="I7" s="5" t="s">
        <v>184</v>
      </c>
      <c r="J7" s="4" t="s">
        <v>65</v>
      </c>
      <c r="K7" s="6" t="s">
        <v>66</v>
      </c>
      <c r="L7" s="6" t="s">
        <v>67</v>
      </c>
      <c r="M7" s="7" t="s">
        <v>67</v>
      </c>
      <c r="N7" s="7" t="s">
        <v>67</v>
      </c>
      <c r="O7" s="6" t="s">
        <v>67</v>
      </c>
      <c r="P7" s="6" t="s">
        <v>67</v>
      </c>
    </row>
  </sheetData>
  <autoFilter xmlns:etc="http://www.wps.cn/officeDocument/2017/etCustomData" ref="A3:P7" etc:filterBottomFollowUsedRange="0">
    <extLst/>
  </autoFilter>
  <mergeCells count="2">
    <mergeCell ref="A1:P1"/>
    <mergeCell ref="A2:P2"/>
  </mergeCells>
  <conditionalFormatting sqref="D4:D7">
    <cfRule type="expression" dxfId="0" priority="1">
      <formula>$D4="P0"</formula>
    </cfRule>
  </conditionalFormatting>
  <conditionalFormatting sqref="J4:J7">
    <cfRule type="expression" dxfId="1" priority="2">
      <formula>$J4="未执行"</formula>
    </cfRule>
    <cfRule type="expression" dxfId="2" priority="3">
      <formula>$J4="通过"</formula>
    </cfRule>
    <cfRule type="expression" dxfId="3" priority="4">
      <formula>$J4="失败"</formula>
    </cfRule>
    <cfRule type="expression" dxfId="3" priority="5">
      <formula>$J4="阻塞"</formula>
    </cfRule>
    <cfRule type="expression" dxfId="4" priority="6">
      <formula>$J4="不适用"</formula>
    </cfRule>
  </conditionalFormatting>
  <conditionalFormatting sqref="K4:K7">
    <cfRule type="expression" dxfId="2" priority="7">
      <formula>$K4="是"</formula>
    </cfRule>
    <cfRule type="expression" dxfId="3" priority="8">
      <formula>$K4="否"</formula>
    </cfRule>
  </conditionalFormatting>
  <conditionalFormatting sqref="L4:L7">
    <cfRule type="expression" dxfId="3" priority="9">
      <formula>$L4="阻塞"</formula>
    </cfRule>
    <cfRule type="expression" dxfId="3" priority="10">
      <formula>$L4="高"</formula>
    </cfRule>
    <cfRule type="expression" dxfId="5" priority="11">
      <formula>$L4="中"</formula>
    </cfRule>
    <cfRule type="expression" dxfId="1" priority="12">
      <formula>$L4="低"</formula>
    </cfRule>
    <cfRule type="expression" dxfId="4" priority="13">
      <formula>$L4="轻微"</formula>
    </cfRule>
  </conditionalFormatting>
  <conditionalFormatting sqref="O4:O7">
    <cfRule type="expression" dxfId="2" priority="14">
      <formula>$O4="已完成"</formula>
    </cfRule>
    <cfRule type="expression" dxfId="6" priority="15">
      <formula>$O4="待讨论"</formula>
    </cfRule>
    <cfRule type="expression" dxfId="4" priority="16">
      <formula>$O4="暂不修复"</formula>
    </cfRule>
  </conditionalFormatting>
  <conditionalFormatting sqref="P4:P7">
    <cfRule type="expression" dxfId="2" priority="17">
      <formula>$P4="通过"</formula>
    </cfRule>
    <cfRule type="expression" dxfId="3" priority="18">
      <formula>$P4="不通过"</formula>
    </cfRule>
  </conditionalFormatting>
  <dataValidations count="7">
    <dataValidation type="list" allowBlank="1" showInputMessage="1" showErrorMessage="1" errorTitle="选项无效" error="请从下拉列表中选择。" promptTitle="请选择" prompt="选择优先级" sqref="D4:D7">
      <formula1>"P0,P1,P2,P3"</formula1>
    </dataValidation>
    <dataValidation type="list" allowBlank="1" showInputMessage="1" showErrorMessage="1" errorTitle="选项无效" error="请从下拉列表中选择。" promptTitle="请选择" prompt="选择用例类型" sqref="E4:E7">
      <formula1>"功能,流程,校验,权限,安全,异常"</formula1>
    </dataValidation>
    <dataValidation type="list" allowBlank="1" showInputMessage="1" showErrorMessage="1" errorTitle="选项无效" error="请从下拉列表中选择。" promptTitle="请选择" prompt="选择执行状态" sqref="J4:J7">
      <formula1>"未执行,通过,失败,阻塞,不适用"</formula1>
    </dataValidation>
    <dataValidation type="list" allowBlank="1" showInputMessage="1" showErrorMessage="1" errorTitle="选项无效" error="请从下拉列表中选择。" promptTitle="请选择" prompt="选择是否通过" sqref="K4:K7">
      <formula1>"是,否"</formula1>
    </dataValidation>
    <dataValidation type="list" allowBlank="1" showInputMessage="1" showErrorMessage="1" errorTitle="选项无效" error="请从下拉列表中选择。" promptTitle="请选择" prompt="选择缺陷等级" sqref="L4:L7">
      <formula1>"阻塞,高,中,低,轻微"</formula1>
    </dataValidation>
    <dataValidation type="list" allowBlank="1" showInputMessage="1" showErrorMessage="1" errorTitle="选项无效" error="请从下拉列表中选择。" promptTitle="请选择" prompt="选择修复情况" sqref="O4:O7">
      <formula1>"已完成,待讨论,暂不修复"</formula1>
    </dataValidation>
    <dataValidation type="list" allowBlank="1" showInputMessage="1" showErrorMessage="1" errorTitle="选项无效" error="请从下拉列表中选择。" promptTitle="请选择" prompt="选择回归情况" sqref="P4:P7">
      <formula1>"通过,不通过"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75B5"/>
    <pageSetUpPr fitToPage="1"/>
  </sheetPr>
  <dimension ref="A1:P8"/>
  <sheetViews>
    <sheetView showGridLines="0" zoomScale="80" zoomScaleNormal="80" workbookViewId="0">
      <pane xSplit="5" ySplit="3" topLeftCell="G4" activePane="bottomRight" state="frozen"/>
      <selection/>
      <selection pane="topRight"/>
      <selection pane="bottomLeft"/>
      <selection pane="bottomRight" activeCell="K8" sqref="K8"/>
    </sheetView>
  </sheetViews>
  <sheetFormatPr defaultColWidth="9" defaultRowHeight="14.4" outlineLevelRow="7"/>
  <cols>
    <col min="1" max="2" width="16" customWidth="1"/>
    <col min="3" max="3" width="34" customWidth="1"/>
    <col min="4" max="4" width="9" customWidth="1"/>
    <col min="5" max="5" width="12" customWidth="1"/>
    <col min="6" max="6" width="28" customWidth="1"/>
    <col min="7" max="7" width="38" customWidth="1"/>
    <col min="8" max="8" width="44" customWidth="1"/>
    <col min="9" max="9" width="46" customWidth="1"/>
    <col min="10" max="10" width="12" customWidth="1"/>
    <col min="11" max="11" width="10" customWidth="1"/>
    <col min="12" max="12" width="11" customWidth="1"/>
    <col min="13" max="13" width="34" customWidth="1"/>
    <col min="14" max="14" width="28" customWidth="1"/>
    <col min="15" max="15" width="13" customWidth="1"/>
    <col min="16" max="16" width="11" customWidth="1"/>
  </cols>
  <sheetData>
    <row r="1" ht="36" customHeight="1" spans="1:16">
      <c r="A1" s="1" t="s">
        <v>185</v>
      </c>
    </row>
    <row r="2" ht="26" customHeight="1" spans="1:16">
      <c r="A2" s="2" t="s">
        <v>186</v>
      </c>
    </row>
    <row r="3" ht="34" customHeight="1" spans="1:16">
      <c r="A3" s="3" t="s">
        <v>41</v>
      </c>
      <c r="B3" s="3" t="s">
        <v>42</v>
      </c>
      <c r="C3" s="3" t="s">
        <v>43</v>
      </c>
      <c r="D3" s="3" t="s">
        <v>44</v>
      </c>
      <c r="E3" s="3" t="s">
        <v>45</v>
      </c>
      <c r="F3" s="3" t="s">
        <v>46</v>
      </c>
      <c r="G3" s="3" t="s">
        <v>47</v>
      </c>
      <c r="H3" s="3" t="s">
        <v>48</v>
      </c>
      <c r="I3" s="3" t="s">
        <v>49</v>
      </c>
      <c r="J3" s="3" t="s">
        <v>50</v>
      </c>
      <c r="K3" s="3" t="s">
        <v>51</v>
      </c>
      <c r="L3" s="3" t="s">
        <v>52</v>
      </c>
      <c r="M3" s="3" t="s">
        <v>53</v>
      </c>
      <c r="N3" s="3" t="s">
        <v>54</v>
      </c>
      <c r="O3" s="3" t="s">
        <v>55</v>
      </c>
      <c r="P3" s="3" t="s">
        <v>56</v>
      </c>
    </row>
    <row r="4" ht="96" customHeight="1" spans="1:16">
      <c r="A4" s="4" t="s">
        <v>187</v>
      </c>
      <c r="B4" s="5" t="s">
        <v>188</v>
      </c>
      <c r="C4" s="5" t="s">
        <v>189</v>
      </c>
      <c r="D4" s="4" t="s">
        <v>15</v>
      </c>
      <c r="E4" s="4" t="s">
        <v>77</v>
      </c>
      <c r="F4" s="5" t="s">
        <v>190</v>
      </c>
      <c r="G4" s="5" t="s">
        <v>191</v>
      </c>
      <c r="H4" s="5" t="s">
        <v>192</v>
      </c>
      <c r="I4" s="5" t="s">
        <v>193</v>
      </c>
      <c r="J4" s="4" t="s">
        <v>65</v>
      </c>
      <c r="K4" s="6" t="s">
        <v>66</v>
      </c>
      <c r="L4" s="6" t="s">
        <v>67</v>
      </c>
      <c r="M4" s="7" t="s">
        <v>67</v>
      </c>
      <c r="N4" s="7" t="s">
        <v>67</v>
      </c>
      <c r="O4" s="6" t="s">
        <v>67</v>
      </c>
      <c r="P4" s="6" t="s">
        <v>67</v>
      </c>
    </row>
    <row r="5" ht="96" customHeight="1" spans="1:16">
      <c r="A5" s="4" t="s">
        <v>194</v>
      </c>
      <c r="B5" s="5" t="s">
        <v>195</v>
      </c>
      <c r="C5" s="5" t="s">
        <v>196</v>
      </c>
      <c r="D5" s="4" t="s">
        <v>15</v>
      </c>
      <c r="E5" s="4" t="s">
        <v>60</v>
      </c>
      <c r="F5" s="5" t="s">
        <v>197</v>
      </c>
      <c r="G5" s="5" t="s">
        <v>198</v>
      </c>
      <c r="H5" s="5" t="s">
        <v>199</v>
      </c>
      <c r="I5" s="5" t="s">
        <v>200</v>
      </c>
      <c r="J5" s="4" t="s">
        <v>65</v>
      </c>
      <c r="K5" s="6" t="s">
        <v>66</v>
      </c>
      <c r="L5" s="6" t="s">
        <v>67</v>
      </c>
      <c r="M5" s="7" t="s">
        <v>67</v>
      </c>
      <c r="N5" s="7" t="s">
        <v>67</v>
      </c>
      <c r="O5" s="6" t="s">
        <v>67</v>
      </c>
      <c r="P5" s="6" t="s">
        <v>67</v>
      </c>
    </row>
    <row r="6" ht="96" customHeight="1" spans="1:16">
      <c r="A6" s="4" t="s">
        <v>201</v>
      </c>
      <c r="B6" s="5" t="s">
        <v>202</v>
      </c>
      <c r="C6" s="5" t="s">
        <v>203</v>
      </c>
      <c r="D6" s="4" t="s">
        <v>15</v>
      </c>
      <c r="E6" s="4" t="s">
        <v>85</v>
      </c>
      <c r="F6" s="5" t="s">
        <v>204</v>
      </c>
      <c r="G6" s="5" t="s">
        <v>205</v>
      </c>
      <c r="H6" s="5" t="s">
        <v>206</v>
      </c>
      <c r="I6" s="5" t="s">
        <v>207</v>
      </c>
      <c r="J6" s="4" t="s">
        <v>208</v>
      </c>
      <c r="K6" s="6" t="s">
        <v>209</v>
      </c>
      <c r="L6" s="6" t="s">
        <v>67</v>
      </c>
      <c r="M6" s="7" t="str">
        <f>_xlfn.DISPIMG("ID_A0BAD49CA1374B91A7ADD466409D7C6E",1)</f>
        <v>=DISPIMG("ID_A0BAD49CA1374B91A7ADD466409D7C6E",1)</v>
      </c>
      <c r="N6" s="7" t="s">
        <v>210</v>
      </c>
      <c r="O6" s="6" t="s">
        <v>67</v>
      </c>
      <c r="P6" s="6" t="s">
        <v>67</v>
      </c>
    </row>
    <row r="7" ht="96" customHeight="1" spans="1:16">
      <c r="A7" s="4" t="s">
        <v>211</v>
      </c>
      <c r="B7" s="5" t="s">
        <v>212</v>
      </c>
      <c r="C7" s="5" t="s">
        <v>213</v>
      </c>
      <c r="D7" s="4" t="s">
        <v>15</v>
      </c>
      <c r="E7" s="4" t="s">
        <v>121</v>
      </c>
      <c r="F7" s="5" t="s">
        <v>214</v>
      </c>
      <c r="G7" s="5" t="s">
        <v>215</v>
      </c>
      <c r="H7" s="5" t="s">
        <v>216</v>
      </c>
      <c r="I7" s="5" t="s">
        <v>217</v>
      </c>
      <c r="J7" s="4" t="s">
        <v>65</v>
      </c>
      <c r="K7" s="6" t="s">
        <v>66</v>
      </c>
      <c r="L7" s="6" t="s">
        <v>67</v>
      </c>
      <c r="M7" s="7" t="s">
        <v>67</v>
      </c>
      <c r="N7" s="7" t="s">
        <v>67</v>
      </c>
      <c r="O7" s="6" t="s">
        <v>67</v>
      </c>
      <c r="P7" s="6" t="s">
        <v>67</v>
      </c>
    </row>
    <row r="8" ht="96" customHeight="1" spans="1:16">
      <c r="A8" s="4" t="s">
        <v>218</v>
      </c>
      <c r="B8" s="5" t="s">
        <v>219</v>
      </c>
      <c r="C8" s="5" t="s">
        <v>220</v>
      </c>
      <c r="D8" s="4" t="s">
        <v>15</v>
      </c>
      <c r="E8" s="4" t="s">
        <v>180</v>
      </c>
      <c r="F8" s="5" t="s">
        <v>221</v>
      </c>
      <c r="G8" s="5" t="s">
        <v>222</v>
      </c>
      <c r="H8" s="5" t="s">
        <v>223</v>
      </c>
      <c r="I8" s="5" t="s">
        <v>224</v>
      </c>
      <c r="J8" s="4" t="s">
        <v>65</v>
      </c>
      <c r="K8" s="6" t="s">
        <v>66</v>
      </c>
      <c r="L8" s="6" t="s">
        <v>67</v>
      </c>
      <c r="M8" s="7" t="s">
        <v>67</v>
      </c>
      <c r="N8" s="7" t="s">
        <v>67</v>
      </c>
      <c r="O8" s="6" t="s">
        <v>67</v>
      </c>
      <c r="P8" s="6" t="s">
        <v>67</v>
      </c>
    </row>
  </sheetData>
  <autoFilter xmlns:etc="http://www.wps.cn/officeDocument/2017/etCustomData" ref="A3:P8" etc:filterBottomFollowUsedRange="0">
    <extLst/>
  </autoFilter>
  <mergeCells count="2">
    <mergeCell ref="A1:P1"/>
    <mergeCell ref="A2:P2"/>
  </mergeCells>
  <conditionalFormatting sqref="D4:D8">
    <cfRule type="expression" dxfId="0" priority="1">
      <formula>$D4="P0"</formula>
    </cfRule>
  </conditionalFormatting>
  <conditionalFormatting sqref="J4:J8">
    <cfRule type="expression" dxfId="1" priority="2">
      <formula>$J4="未执行"</formula>
    </cfRule>
    <cfRule type="expression" dxfId="2" priority="3">
      <formula>$J4="通过"</formula>
    </cfRule>
    <cfRule type="expression" dxfId="3" priority="4">
      <formula>$J4="失败"</formula>
    </cfRule>
    <cfRule type="expression" dxfId="3" priority="5">
      <formula>$J4="阻塞"</formula>
    </cfRule>
    <cfRule type="expression" dxfId="4" priority="6">
      <formula>$J4="不适用"</formula>
    </cfRule>
  </conditionalFormatting>
  <conditionalFormatting sqref="K4:K8">
    <cfRule type="expression" dxfId="2" priority="7">
      <formula>$K4="是"</formula>
    </cfRule>
    <cfRule type="expression" dxfId="3" priority="8">
      <formula>$K4="否"</formula>
    </cfRule>
  </conditionalFormatting>
  <conditionalFormatting sqref="L4:L8">
    <cfRule type="expression" dxfId="3" priority="9">
      <formula>$L4="阻塞"</formula>
    </cfRule>
    <cfRule type="expression" dxfId="3" priority="10">
      <formula>$L4="高"</formula>
    </cfRule>
    <cfRule type="expression" dxfId="5" priority="11">
      <formula>$L4="中"</formula>
    </cfRule>
    <cfRule type="expression" dxfId="1" priority="12">
      <formula>$L4="低"</formula>
    </cfRule>
    <cfRule type="expression" dxfId="4" priority="13">
      <formula>$L4="轻微"</formula>
    </cfRule>
  </conditionalFormatting>
  <conditionalFormatting sqref="O4:O8">
    <cfRule type="expression" dxfId="2" priority="14">
      <formula>$O4="已完成"</formula>
    </cfRule>
    <cfRule type="expression" dxfId="6" priority="15">
      <formula>$O4="待讨论"</formula>
    </cfRule>
    <cfRule type="expression" dxfId="4" priority="16">
      <formula>$O4="暂不修复"</formula>
    </cfRule>
  </conditionalFormatting>
  <conditionalFormatting sqref="P4:P8">
    <cfRule type="expression" dxfId="2" priority="17">
      <formula>$P4="通过"</formula>
    </cfRule>
    <cfRule type="expression" dxfId="3" priority="18">
      <formula>$P4="不通过"</formula>
    </cfRule>
  </conditionalFormatting>
  <dataValidations count="7">
    <dataValidation type="list" allowBlank="1" showInputMessage="1" showErrorMessage="1" errorTitle="选项无效" error="请从下拉列表中选择。" promptTitle="请选择" prompt="选择优先级" sqref="D4:D8">
      <formula1>"P0,P1,P2,P3"</formula1>
    </dataValidation>
    <dataValidation type="list" allowBlank="1" showInputMessage="1" showErrorMessage="1" errorTitle="选项无效" error="请从下拉列表中选择。" promptTitle="请选择" prompt="选择用例类型" sqref="E4:E8">
      <formula1>"功能,流程,校验,权限,安全,异常"</formula1>
    </dataValidation>
    <dataValidation type="list" allowBlank="1" showInputMessage="1" showErrorMessage="1" errorTitle="选项无效" error="请从下拉列表中选择。" promptTitle="请选择" prompt="选择执行状态" sqref="J4:J8">
      <formula1>"未执行,通过,失败,阻塞,不适用"</formula1>
    </dataValidation>
    <dataValidation type="list" allowBlank="1" showInputMessage="1" showErrorMessage="1" errorTitle="选项无效" error="请从下拉列表中选择。" promptTitle="请选择" prompt="选择是否通过" sqref="K4:K8">
      <formula1>"是,否"</formula1>
    </dataValidation>
    <dataValidation type="list" allowBlank="1" showInputMessage="1" showErrorMessage="1" errorTitle="选项无效" error="请从下拉列表中选择。" promptTitle="请选择" prompt="选择缺陷等级" sqref="L4:L8">
      <formula1>"阻塞,高,中,低,轻微"</formula1>
    </dataValidation>
    <dataValidation type="list" allowBlank="1" showInputMessage="1" showErrorMessage="1" errorTitle="选项无效" error="请从下拉列表中选择。" promptTitle="请选择" prompt="选择修复情况" sqref="O4:O8">
      <formula1>"已完成,待讨论,暂不修复"</formula1>
    </dataValidation>
    <dataValidation type="list" allowBlank="1" showInputMessage="1" showErrorMessage="1" errorTitle="选项无效" error="请从下拉列表中选择。" promptTitle="请选择" prompt="选择回归情况" sqref="P4:P8">
      <formula1>"通过,不通过"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75B5"/>
    <pageSetUpPr fitToPage="1"/>
  </sheetPr>
  <dimension ref="A1:P9"/>
  <sheetViews>
    <sheetView showGridLines="0" zoomScale="80" zoomScaleNormal="80" workbookViewId="0">
      <pane xSplit="5" ySplit="3" topLeftCell="I7" activePane="bottomRight" state="frozen"/>
      <selection/>
      <selection pane="topRight"/>
      <selection pane="bottomLeft"/>
      <selection pane="bottomRight" activeCell="N9" sqref="N9"/>
    </sheetView>
  </sheetViews>
  <sheetFormatPr defaultColWidth="9" defaultRowHeight="14.4"/>
  <cols>
    <col min="1" max="2" width="16" customWidth="1"/>
    <col min="3" max="3" width="34" customWidth="1"/>
    <col min="4" max="4" width="9" customWidth="1"/>
    <col min="5" max="5" width="12" customWidth="1"/>
    <col min="6" max="6" width="28" customWidth="1"/>
    <col min="7" max="7" width="38" customWidth="1"/>
    <col min="8" max="8" width="44" customWidth="1"/>
    <col min="9" max="9" width="46" customWidth="1"/>
    <col min="10" max="10" width="12" customWidth="1"/>
    <col min="11" max="11" width="10" customWidth="1"/>
    <col min="12" max="12" width="11" customWidth="1"/>
    <col min="13" max="13" width="34" customWidth="1"/>
    <col min="14" max="14" width="28" customWidth="1"/>
    <col min="15" max="15" width="13" customWidth="1"/>
    <col min="16" max="16" width="11" customWidth="1"/>
  </cols>
  <sheetData>
    <row r="1" ht="36" customHeight="1" spans="1:16">
      <c r="A1" s="1" t="s">
        <v>225</v>
      </c>
    </row>
    <row r="2" ht="26" customHeight="1" spans="1:16">
      <c r="A2" s="2" t="s">
        <v>226</v>
      </c>
    </row>
    <row r="3" ht="34" customHeight="1" spans="1:16">
      <c r="A3" s="3" t="s">
        <v>41</v>
      </c>
      <c r="B3" s="3" t="s">
        <v>42</v>
      </c>
      <c r="C3" s="3" t="s">
        <v>43</v>
      </c>
      <c r="D3" s="3" t="s">
        <v>44</v>
      </c>
      <c r="E3" s="3" t="s">
        <v>45</v>
      </c>
      <c r="F3" s="3" t="s">
        <v>46</v>
      </c>
      <c r="G3" s="3" t="s">
        <v>47</v>
      </c>
      <c r="H3" s="3" t="s">
        <v>48</v>
      </c>
      <c r="I3" s="3" t="s">
        <v>49</v>
      </c>
      <c r="J3" s="3" t="s">
        <v>50</v>
      </c>
      <c r="K3" s="3" t="s">
        <v>51</v>
      </c>
      <c r="L3" s="3" t="s">
        <v>52</v>
      </c>
      <c r="M3" s="3" t="s">
        <v>53</v>
      </c>
      <c r="N3" s="3" t="s">
        <v>54</v>
      </c>
      <c r="O3" s="3" t="s">
        <v>55</v>
      </c>
      <c r="P3" s="3" t="s">
        <v>56</v>
      </c>
    </row>
    <row r="4" ht="96" customHeight="1" spans="1:16">
      <c r="A4" s="4" t="s">
        <v>227</v>
      </c>
      <c r="B4" s="5" t="s">
        <v>228</v>
      </c>
      <c r="C4" s="5" t="s">
        <v>229</v>
      </c>
      <c r="D4" s="4" t="s">
        <v>15</v>
      </c>
      <c r="E4" s="4" t="s">
        <v>60</v>
      </c>
      <c r="F4" s="5" t="s">
        <v>230</v>
      </c>
      <c r="G4" s="5" t="s">
        <v>231</v>
      </c>
      <c r="H4" s="5" t="s">
        <v>232</v>
      </c>
      <c r="I4" s="5" t="s">
        <v>233</v>
      </c>
      <c r="J4" s="4" t="s">
        <v>65</v>
      </c>
      <c r="K4" s="6" t="s">
        <v>66</v>
      </c>
      <c r="L4" s="6" t="s">
        <v>67</v>
      </c>
      <c r="M4" s="7" t="s">
        <v>67</v>
      </c>
      <c r="N4" s="7" t="s">
        <v>67</v>
      </c>
      <c r="O4" s="6" t="s">
        <v>67</v>
      </c>
      <c r="P4" s="6" t="s">
        <v>67</v>
      </c>
    </row>
    <row r="5" ht="96" customHeight="1" spans="1:16">
      <c r="A5" s="4" t="s">
        <v>234</v>
      </c>
      <c r="B5" s="5" t="s">
        <v>235</v>
      </c>
      <c r="C5" s="5" t="s">
        <v>236</v>
      </c>
      <c r="D5" s="4" t="s">
        <v>15</v>
      </c>
      <c r="E5" s="4" t="s">
        <v>77</v>
      </c>
      <c r="F5" s="5" t="s">
        <v>237</v>
      </c>
      <c r="G5" s="5" t="s">
        <v>238</v>
      </c>
      <c r="H5" s="5" t="s">
        <v>239</v>
      </c>
      <c r="I5" s="5" t="s">
        <v>240</v>
      </c>
      <c r="J5" s="4" t="s">
        <v>9</v>
      </c>
      <c r="K5" s="6" t="s">
        <v>67</v>
      </c>
      <c r="L5" s="6" t="s">
        <v>67</v>
      </c>
      <c r="M5" s="7" t="s">
        <v>67</v>
      </c>
      <c r="N5" s="7" t="s">
        <v>241</v>
      </c>
      <c r="O5" s="6" t="s">
        <v>67</v>
      </c>
      <c r="P5" s="6" t="s">
        <v>67</v>
      </c>
    </row>
    <row r="6" ht="96" customHeight="1" spans="1:16">
      <c r="A6" s="4" t="s">
        <v>242</v>
      </c>
      <c r="B6" s="5" t="s">
        <v>243</v>
      </c>
      <c r="C6" s="5" t="s">
        <v>244</v>
      </c>
      <c r="D6" s="4" t="s">
        <v>15</v>
      </c>
      <c r="E6" s="4" t="s">
        <v>60</v>
      </c>
      <c r="F6" s="5" t="s">
        <v>245</v>
      </c>
      <c r="G6" s="5" t="s">
        <v>246</v>
      </c>
      <c r="H6" s="5" t="s">
        <v>247</v>
      </c>
      <c r="I6" s="5" t="s">
        <v>248</v>
      </c>
      <c r="J6" s="4" t="s">
        <v>65</v>
      </c>
      <c r="K6" s="6" t="s">
        <v>66</v>
      </c>
      <c r="L6" s="6" t="s">
        <v>67</v>
      </c>
      <c r="M6" s="7" t="s">
        <v>67</v>
      </c>
      <c r="N6" s="7" t="s">
        <v>67</v>
      </c>
      <c r="O6" s="6" t="s">
        <v>67</v>
      </c>
      <c r="P6" s="6" t="s">
        <v>67</v>
      </c>
    </row>
    <row r="7" ht="96" customHeight="1" spans="1:16">
      <c r="A7" s="4" t="s">
        <v>249</v>
      </c>
      <c r="B7" s="5" t="s">
        <v>250</v>
      </c>
      <c r="C7" s="5" t="s">
        <v>251</v>
      </c>
      <c r="D7" s="4" t="s">
        <v>15</v>
      </c>
      <c r="E7" s="4" t="s">
        <v>60</v>
      </c>
      <c r="F7" s="5" t="s">
        <v>252</v>
      </c>
      <c r="G7" s="5" t="s">
        <v>253</v>
      </c>
      <c r="H7" s="5" t="s">
        <v>254</v>
      </c>
      <c r="I7" s="5" t="s">
        <v>255</v>
      </c>
      <c r="J7" s="4" t="s">
        <v>65</v>
      </c>
      <c r="K7" s="6" t="s">
        <v>66</v>
      </c>
      <c r="L7" s="6" t="s">
        <v>67</v>
      </c>
      <c r="M7" s="7" t="s">
        <v>67</v>
      </c>
      <c r="N7" s="7" t="s">
        <v>67</v>
      </c>
      <c r="O7" s="6" t="s">
        <v>67</v>
      </c>
      <c r="P7" s="6" t="s">
        <v>67</v>
      </c>
    </row>
    <row r="8" ht="96" customHeight="1" spans="1:16">
      <c r="A8" s="4" t="s">
        <v>256</v>
      </c>
      <c r="B8" s="5" t="s">
        <v>257</v>
      </c>
      <c r="C8" s="5" t="s">
        <v>258</v>
      </c>
      <c r="D8" s="4" t="s">
        <v>15</v>
      </c>
      <c r="E8" s="4" t="s">
        <v>180</v>
      </c>
      <c r="F8" s="5" t="s">
        <v>259</v>
      </c>
      <c r="G8" s="5" t="s">
        <v>260</v>
      </c>
      <c r="H8" s="5" t="s">
        <v>261</v>
      </c>
      <c r="I8" s="5" t="s">
        <v>262</v>
      </c>
      <c r="J8" s="4" t="s">
        <v>65</v>
      </c>
      <c r="K8" s="6" t="s">
        <v>66</v>
      </c>
      <c r="L8" s="6" t="s">
        <v>67</v>
      </c>
      <c r="M8" s="7" t="s">
        <v>67</v>
      </c>
      <c r="N8" s="7" t="s">
        <v>67</v>
      </c>
      <c r="O8" s="6" t="s">
        <v>67</v>
      </c>
      <c r="P8" s="6" t="s">
        <v>67</v>
      </c>
    </row>
    <row r="9" ht="96" customHeight="1" spans="1:16">
      <c r="A9" s="4" t="s">
        <v>263</v>
      </c>
      <c r="B9" s="5" t="s">
        <v>264</v>
      </c>
      <c r="C9" s="5" t="s">
        <v>265</v>
      </c>
      <c r="D9" s="4" t="s">
        <v>15</v>
      </c>
      <c r="E9" s="4" t="s">
        <v>85</v>
      </c>
      <c r="F9" s="5" t="s">
        <v>266</v>
      </c>
      <c r="G9" s="5" t="s">
        <v>267</v>
      </c>
      <c r="H9" s="5" t="s">
        <v>268</v>
      </c>
      <c r="I9" s="5" t="s">
        <v>269</v>
      </c>
      <c r="J9" s="4" t="s">
        <v>9</v>
      </c>
      <c r="K9" s="6" t="s">
        <v>67</v>
      </c>
      <c r="L9" s="6" t="s">
        <v>67</v>
      </c>
      <c r="M9" s="7" t="s">
        <v>67</v>
      </c>
      <c r="N9" s="7" t="s">
        <v>270</v>
      </c>
      <c r="O9" s="6" t="s">
        <v>67</v>
      </c>
      <c r="P9" s="6" t="s">
        <v>67</v>
      </c>
    </row>
  </sheetData>
  <autoFilter xmlns:etc="http://www.wps.cn/officeDocument/2017/etCustomData" ref="A3:P9" etc:filterBottomFollowUsedRange="0">
    <extLst/>
  </autoFilter>
  <mergeCells count="2">
    <mergeCell ref="A1:P1"/>
    <mergeCell ref="A2:P2"/>
  </mergeCells>
  <conditionalFormatting sqref="D4:D9">
    <cfRule type="expression" dxfId="0" priority="1">
      <formula>$D4="P0"</formula>
    </cfRule>
  </conditionalFormatting>
  <conditionalFormatting sqref="J4:J9">
    <cfRule type="expression" dxfId="1" priority="2">
      <formula>$J4="未执行"</formula>
    </cfRule>
    <cfRule type="expression" dxfId="2" priority="3">
      <formula>$J4="通过"</formula>
    </cfRule>
    <cfRule type="expression" dxfId="3" priority="4">
      <formula>$J4="失败"</formula>
    </cfRule>
    <cfRule type="expression" dxfId="3" priority="5">
      <formula>$J4="阻塞"</formula>
    </cfRule>
    <cfRule type="expression" dxfId="4" priority="6">
      <formula>$J4="不适用"</formula>
    </cfRule>
  </conditionalFormatting>
  <conditionalFormatting sqref="K4:K9">
    <cfRule type="expression" dxfId="2" priority="7">
      <formula>$K4="是"</formula>
    </cfRule>
    <cfRule type="expression" dxfId="3" priority="8">
      <formula>$K4="否"</formula>
    </cfRule>
  </conditionalFormatting>
  <conditionalFormatting sqref="L4:L9">
    <cfRule type="expression" dxfId="3" priority="9">
      <formula>$L4="阻塞"</formula>
    </cfRule>
    <cfRule type="expression" dxfId="3" priority="10">
      <formula>$L4="高"</formula>
    </cfRule>
    <cfRule type="expression" dxfId="5" priority="11">
      <formula>$L4="中"</formula>
    </cfRule>
    <cfRule type="expression" dxfId="1" priority="12">
      <formula>$L4="低"</formula>
    </cfRule>
    <cfRule type="expression" dxfId="4" priority="13">
      <formula>$L4="轻微"</formula>
    </cfRule>
  </conditionalFormatting>
  <conditionalFormatting sqref="O4:O9">
    <cfRule type="expression" dxfId="2" priority="14">
      <formula>$O4="已完成"</formula>
    </cfRule>
    <cfRule type="expression" dxfId="6" priority="15">
      <formula>$O4="待讨论"</formula>
    </cfRule>
    <cfRule type="expression" dxfId="4" priority="16">
      <formula>$O4="暂不修复"</formula>
    </cfRule>
  </conditionalFormatting>
  <conditionalFormatting sqref="P4:P9">
    <cfRule type="expression" dxfId="2" priority="17">
      <formula>$P4="通过"</formula>
    </cfRule>
    <cfRule type="expression" dxfId="3" priority="18">
      <formula>$P4="不通过"</formula>
    </cfRule>
  </conditionalFormatting>
  <dataValidations count="7">
    <dataValidation type="list" allowBlank="1" showInputMessage="1" showErrorMessage="1" errorTitle="选项无效" error="请从下拉列表中选择。" promptTitle="请选择" prompt="选择优先级" sqref="D4:D9">
      <formula1>"P0,P1,P2,P3"</formula1>
    </dataValidation>
    <dataValidation type="list" allowBlank="1" showInputMessage="1" showErrorMessage="1" errorTitle="选项无效" error="请从下拉列表中选择。" promptTitle="请选择" prompt="选择用例类型" sqref="E4:E9">
      <formula1>"功能,流程,校验,权限,安全,异常"</formula1>
    </dataValidation>
    <dataValidation type="list" allowBlank="1" showInputMessage="1" showErrorMessage="1" errorTitle="选项无效" error="请从下拉列表中选择。" promptTitle="请选择" prompt="选择执行状态" sqref="J4:J9">
      <formula1>"未执行,通过,失败,阻塞,不适用"</formula1>
    </dataValidation>
    <dataValidation type="list" allowBlank="1" showInputMessage="1" showErrorMessage="1" errorTitle="选项无效" error="请从下拉列表中选择。" promptTitle="请选择" prompt="选择是否通过" sqref="K4:K9">
      <formula1>"是,否"</formula1>
    </dataValidation>
    <dataValidation type="list" allowBlank="1" showInputMessage="1" showErrorMessage="1" errorTitle="选项无效" error="请从下拉列表中选择。" promptTitle="请选择" prompt="选择缺陷等级" sqref="L4:L9">
      <formula1>"阻塞,高,中,低,轻微"</formula1>
    </dataValidation>
    <dataValidation type="list" allowBlank="1" showInputMessage="1" showErrorMessage="1" errorTitle="选项无效" error="请从下拉列表中选择。" promptTitle="请选择" prompt="选择修复情况" sqref="O4:O9">
      <formula1>"已完成,待讨论,暂不修复"</formula1>
    </dataValidation>
    <dataValidation type="list" allowBlank="1" showInputMessage="1" showErrorMessage="1" errorTitle="选项无效" error="请从下拉列表中选择。" promptTitle="请选择" prompt="选择回归情况" sqref="P4:P9">
      <formula1>"通过,不通过"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75B5"/>
    <pageSetUpPr fitToPage="1"/>
  </sheetPr>
  <dimension ref="A1:P10"/>
  <sheetViews>
    <sheetView showGridLines="0" tabSelected="1" zoomScale="80" zoomScaleNormal="80" workbookViewId="0">
      <pane xSplit="5" ySplit="3" topLeftCell="G7" activePane="bottomRight" state="frozen"/>
      <selection/>
      <selection pane="topRight"/>
      <selection pane="bottomLeft"/>
      <selection pane="bottomRight" activeCell="M10" sqref="M10"/>
    </sheetView>
  </sheetViews>
  <sheetFormatPr defaultColWidth="9" defaultRowHeight="14.4"/>
  <cols>
    <col min="1" max="2" width="16" customWidth="1"/>
    <col min="3" max="3" width="34" customWidth="1"/>
    <col min="4" max="4" width="9" customWidth="1"/>
    <col min="5" max="5" width="12" customWidth="1"/>
    <col min="6" max="6" width="28" customWidth="1"/>
    <col min="7" max="7" width="38" customWidth="1"/>
    <col min="8" max="8" width="44" customWidth="1"/>
    <col min="9" max="9" width="46" customWidth="1"/>
    <col min="10" max="10" width="12" customWidth="1"/>
    <col min="11" max="11" width="10" customWidth="1"/>
    <col min="12" max="12" width="11" customWidth="1"/>
    <col min="13" max="13" width="34" customWidth="1"/>
    <col min="14" max="14" width="28" customWidth="1"/>
    <col min="15" max="15" width="13" customWidth="1"/>
    <col min="16" max="16" width="11" customWidth="1"/>
  </cols>
  <sheetData>
    <row r="1" ht="36" customHeight="1" spans="1:16">
      <c r="A1" s="1" t="s">
        <v>271</v>
      </c>
    </row>
    <row r="2" ht="26" customHeight="1" spans="1:16">
      <c r="A2" s="2" t="s">
        <v>272</v>
      </c>
    </row>
    <row r="3" ht="34" customHeight="1" spans="1:16">
      <c r="A3" s="3" t="s">
        <v>41</v>
      </c>
      <c r="B3" s="3" t="s">
        <v>42</v>
      </c>
      <c r="C3" s="3" t="s">
        <v>43</v>
      </c>
      <c r="D3" s="3" t="s">
        <v>44</v>
      </c>
      <c r="E3" s="3" t="s">
        <v>45</v>
      </c>
      <c r="F3" s="3" t="s">
        <v>46</v>
      </c>
      <c r="G3" s="3" t="s">
        <v>47</v>
      </c>
      <c r="H3" s="3" t="s">
        <v>48</v>
      </c>
      <c r="I3" s="3" t="s">
        <v>49</v>
      </c>
      <c r="J3" s="3" t="s">
        <v>50</v>
      </c>
      <c r="K3" s="3" t="s">
        <v>51</v>
      </c>
      <c r="L3" s="3" t="s">
        <v>52</v>
      </c>
      <c r="M3" s="3" t="s">
        <v>53</v>
      </c>
      <c r="N3" s="3" t="s">
        <v>54</v>
      </c>
      <c r="O3" s="3" t="s">
        <v>55</v>
      </c>
      <c r="P3" s="3" t="s">
        <v>56</v>
      </c>
    </row>
    <row r="4" ht="96" customHeight="1" spans="1:16">
      <c r="A4" s="4" t="s">
        <v>273</v>
      </c>
      <c r="B4" s="5" t="s">
        <v>274</v>
      </c>
      <c r="C4" s="5" t="s">
        <v>275</v>
      </c>
      <c r="D4" s="4" t="s">
        <v>15</v>
      </c>
      <c r="E4" s="4" t="s">
        <v>276</v>
      </c>
      <c r="F4" s="5" t="s">
        <v>78</v>
      </c>
      <c r="G4" s="5" t="s">
        <v>277</v>
      </c>
      <c r="H4" s="5" t="s">
        <v>278</v>
      </c>
      <c r="I4" s="5" t="s">
        <v>279</v>
      </c>
      <c r="J4" s="4" t="s">
        <v>65</v>
      </c>
      <c r="K4" s="6" t="s">
        <v>66</v>
      </c>
      <c r="L4" s="6" t="s">
        <v>67</v>
      </c>
      <c r="M4" s="7" t="s">
        <v>67</v>
      </c>
      <c r="N4" s="7" t="s">
        <v>67</v>
      </c>
      <c r="O4" s="6" t="s">
        <v>67</v>
      </c>
      <c r="P4" s="6" t="s">
        <v>67</v>
      </c>
    </row>
    <row r="5" ht="96" customHeight="1" spans="1:16">
      <c r="A5" s="4" t="s">
        <v>280</v>
      </c>
      <c r="B5" s="5" t="s">
        <v>281</v>
      </c>
      <c r="C5" s="5" t="s">
        <v>282</v>
      </c>
      <c r="D5" s="4" t="s">
        <v>15</v>
      </c>
      <c r="E5" s="4" t="s">
        <v>276</v>
      </c>
      <c r="F5" s="5" t="s">
        <v>78</v>
      </c>
      <c r="G5" s="5" t="s">
        <v>283</v>
      </c>
      <c r="H5" s="5" t="s">
        <v>284</v>
      </c>
      <c r="I5" s="5" t="s">
        <v>285</v>
      </c>
      <c r="J5" s="4" t="s">
        <v>65</v>
      </c>
      <c r="K5" s="6" t="s">
        <v>66</v>
      </c>
      <c r="L5" s="6" t="s">
        <v>67</v>
      </c>
      <c r="M5" s="7" t="s">
        <v>67</v>
      </c>
      <c r="N5" s="7" t="s">
        <v>67</v>
      </c>
      <c r="O5" s="6" t="s">
        <v>67</v>
      </c>
      <c r="P5" s="6" t="s">
        <v>67</v>
      </c>
    </row>
    <row r="6" ht="96" customHeight="1" spans="1:16">
      <c r="A6" s="4" t="s">
        <v>286</v>
      </c>
      <c r="B6" s="5" t="s">
        <v>287</v>
      </c>
      <c r="C6" s="5" t="s">
        <v>288</v>
      </c>
      <c r="D6" s="4" t="s">
        <v>15</v>
      </c>
      <c r="E6" s="4" t="s">
        <v>276</v>
      </c>
      <c r="F6" s="5" t="s">
        <v>289</v>
      </c>
      <c r="G6" s="5" t="s">
        <v>290</v>
      </c>
      <c r="H6" s="5" t="s">
        <v>291</v>
      </c>
      <c r="I6" s="5" t="s">
        <v>292</v>
      </c>
      <c r="J6" s="4" t="s">
        <v>65</v>
      </c>
      <c r="K6" s="6" t="s">
        <v>66</v>
      </c>
      <c r="L6" s="6" t="s">
        <v>67</v>
      </c>
      <c r="M6" s="7" t="s">
        <v>67</v>
      </c>
      <c r="N6" s="7" t="s">
        <v>67</v>
      </c>
      <c r="O6" s="6" t="s">
        <v>67</v>
      </c>
      <c r="P6" s="6" t="s">
        <v>67</v>
      </c>
    </row>
    <row r="7" ht="96" customHeight="1" spans="1:16">
      <c r="A7" s="4" t="s">
        <v>293</v>
      </c>
      <c r="B7" s="5" t="s">
        <v>294</v>
      </c>
      <c r="C7" s="5" t="s">
        <v>295</v>
      </c>
      <c r="D7" s="4" t="s">
        <v>15</v>
      </c>
      <c r="E7" s="4" t="s">
        <v>77</v>
      </c>
      <c r="F7" s="5" t="s">
        <v>296</v>
      </c>
      <c r="G7" s="5" t="s">
        <v>297</v>
      </c>
      <c r="H7" s="5" t="s">
        <v>298</v>
      </c>
      <c r="I7" s="5" t="s">
        <v>299</v>
      </c>
      <c r="J7" s="4" t="s">
        <v>9</v>
      </c>
      <c r="K7" s="6" t="s">
        <v>67</v>
      </c>
      <c r="L7" s="6" t="s">
        <v>67</v>
      </c>
      <c r="M7" s="7" t="s">
        <v>300</v>
      </c>
      <c r="N7" s="7" t="s">
        <v>67</v>
      </c>
      <c r="O7" s="6" t="s">
        <v>67</v>
      </c>
      <c r="P7" s="6" t="s">
        <v>67</v>
      </c>
    </row>
    <row r="8" ht="96" customHeight="1" spans="1:16">
      <c r="A8" s="4" t="s">
        <v>301</v>
      </c>
      <c r="B8" s="5" t="s">
        <v>302</v>
      </c>
      <c r="C8" s="5" t="s">
        <v>303</v>
      </c>
      <c r="D8" s="4" t="s">
        <v>15</v>
      </c>
      <c r="E8" s="4" t="s">
        <v>180</v>
      </c>
      <c r="F8" s="5" t="s">
        <v>304</v>
      </c>
      <c r="G8" s="5" t="s">
        <v>305</v>
      </c>
      <c r="H8" s="5" t="s">
        <v>298</v>
      </c>
      <c r="I8" s="5" t="s">
        <v>306</v>
      </c>
      <c r="J8" s="4" t="s">
        <v>9</v>
      </c>
      <c r="K8" s="6" t="s">
        <v>67</v>
      </c>
      <c r="L8" s="6" t="s">
        <v>67</v>
      </c>
      <c r="M8" s="7" t="s">
        <v>300</v>
      </c>
      <c r="N8" s="7" t="s">
        <v>67</v>
      </c>
      <c r="O8" s="6" t="s">
        <v>67</v>
      </c>
      <c r="P8" s="6" t="s">
        <v>67</v>
      </c>
    </row>
    <row r="9" ht="96" customHeight="1" spans="1:16">
      <c r="A9" s="4" t="s">
        <v>307</v>
      </c>
      <c r="B9" s="5" t="s">
        <v>308</v>
      </c>
      <c r="C9" s="5" t="s">
        <v>309</v>
      </c>
      <c r="D9" s="4" t="s">
        <v>15</v>
      </c>
      <c r="E9" s="4" t="s">
        <v>77</v>
      </c>
      <c r="F9" s="5" t="s">
        <v>310</v>
      </c>
      <c r="G9" s="5" t="s">
        <v>311</v>
      </c>
      <c r="H9" s="5" t="s">
        <v>312</v>
      </c>
      <c r="I9" s="5" t="s">
        <v>313</v>
      </c>
      <c r="J9" s="4" t="s">
        <v>9</v>
      </c>
      <c r="K9" s="6" t="s">
        <v>67</v>
      </c>
      <c r="L9" s="6" t="s">
        <v>67</v>
      </c>
      <c r="M9" s="7" t="s">
        <v>314</v>
      </c>
      <c r="N9" s="7" t="s">
        <v>67</v>
      </c>
      <c r="O9" s="6" t="s">
        <v>67</v>
      </c>
      <c r="P9" s="6" t="s">
        <v>67</v>
      </c>
    </row>
    <row r="10" ht="96" customHeight="1" spans="1:16">
      <c r="A10" s="4" t="s">
        <v>315</v>
      </c>
      <c r="B10" s="5" t="s">
        <v>316</v>
      </c>
      <c r="C10" s="5" t="s">
        <v>317</v>
      </c>
      <c r="D10" s="4" t="s">
        <v>15</v>
      </c>
      <c r="E10" s="4" t="s">
        <v>276</v>
      </c>
      <c r="F10" s="5" t="s">
        <v>318</v>
      </c>
      <c r="G10" s="5" t="s">
        <v>319</v>
      </c>
      <c r="H10" s="5" t="s">
        <v>320</v>
      </c>
      <c r="I10" s="5" t="s">
        <v>321</v>
      </c>
      <c r="J10" s="4" t="s">
        <v>9</v>
      </c>
      <c r="K10" s="6" t="s">
        <v>67</v>
      </c>
      <c r="L10" s="6" t="s">
        <v>67</v>
      </c>
      <c r="M10" s="7" t="s">
        <v>322</v>
      </c>
      <c r="N10" s="7" t="s">
        <v>67</v>
      </c>
      <c r="O10" s="6" t="s">
        <v>67</v>
      </c>
      <c r="P10" s="6" t="s">
        <v>67</v>
      </c>
    </row>
  </sheetData>
  <autoFilter xmlns:etc="http://www.wps.cn/officeDocument/2017/etCustomData" ref="A3:P10" etc:filterBottomFollowUsedRange="0">
    <extLst/>
  </autoFilter>
  <mergeCells count="2">
    <mergeCell ref="A1:P1"/>
    <mergeCell ref="A2:P2"/>
  </mergeCells>
  <conditionalFormatting sqref="D4:D10">
    <cfRule type="expression" dxfId="0" priority="1">
      <formula>$D4="P0"</formula>
    </cfRule>
  </conditionalFormatting>
  <conditionalFormatting sqref="J4:J10">
    <cfRule type="expression" dxfId="1" priority="2">
      <formula>$J4="未执行"</formula>
    </cfRule>
    <cfRule type="expression" dxfId="2" priority="3">
      <formula>$J4="通过"</formula>
    </cfRule>
    <cfRule type="expression" dxfId="3" priority="4">
      <formula>$J4="失败"</formula>
    </cfRule>
    <cfRule type="expression" dxfId="3" priority="5">
      <formula>$J4="阻塞"</formula>
    </cfRule>
    <cfRule type="expression" dxfId="4" priority="6">
      <formula>$J4="不适用"</formula>
    </cfRule>
  </conditionalFormatting>
  <conditionalFormatting sqref="K4:K10">
    <cfRule type="expression" dxfId="2" priority="7">
      <formula>$K4="是"</formula>
    </cfRule>
    <cfRule type="expression" dxfId="3" priority="8">
      <formula>$K4="否"</formula>
    </cfRule>
  </conditionalFormatting>
  <conditionalFormatting sqref="L4:L10">
    <cfRule type="expression" dxfId="3" priority="9">
      <formula>$L4="阻塞"</formula>
    </cfRule>
    <cfRule type="expression" dxfId="3" priority="10">
      <formula>$L4="高"</formula>
    </cfRule>
    <cfRule type="expression" dxfId="5" priority="11">
      <formula>$L4="中"</formula>
    </cfRule>
    <cfRule type="expression" dxfId="1" priority="12">
      <formula>$L4="低"</formula>
    </cfRule>
    <cfRule type="expression" dxfId="4" priority="13">
      <formula>$L4="轻微"</formula>
    </cfRule>
  </conditionalFormatting>
  <conditionalFormatting sqref="O4:O10">
    <cfRule type="expression" dxfId="2" priority="14">
      <formula>$O4="已完成"</formula>
    </cfRule>
    <cfRule type="expression" dxfId="6" priority="15">
      <formula>$O4="待讨论"</formula>
    </cfRule>
    <cfRule type="expression" dxfId="4" priority="16">
      <formula>$O4="暂不修复"</formula>
    </cfRule>
  </conditionalFormatting>
  <conditionalFormatting sqref="P4:P10">
    <cfRule type="expression" dxfId="2" priority="17">
      <formula>$P4="通过"</formula>
    </cfRule>
    <cfRule type="expression" dxfId="3" priority="18">
      <formula>$P4="不通过"</formula>
    </cfRule>
  </conditionalFormatting>
  <dataValidations count="7">
    <dataValidation type="list" allowBlank="1" showInputMessage="1" showErrorMessage="1" errorTitle="选项无效" error="请从下拉列表中选择。" promptTitle="请选择" prompt="选择优先级" sqref="D4:D10">
      <formula1>"P0,P1,P2,P3"</formula1>
    </dataValidation>
    <dataValidation type="list" allowBlank="1" showInputMessage="1" showErrorMessage="1" errorTitle="选项无效" error="请从下拉列表中选择。" promptTitle="请选择" prompt="选择用例类型" sqref="E4:E10">
      <formula1>"功能,流程,校验,权限,安全,异常"</formula1>
    </dataValidation>
    <dataValidation type="list" allowBlank="1" showInputMessage="1" showErrorMessage="1" errorTitle="选项无效" error="请从下拉列表中选择。" promptTitle="请选择" prompt="选择执行状态" sqref="J4:J10">
      <formula1>"未执行,通过,失败,阻塞,不适用"</formula1>
    </dataValidation>
    <dataValidation type="list" allowBlank="1" showInputMessage="1" showErrorMessage="1" errorTitle="选项无效" error="请从下拉列表中选择。" promptTitle="请选择" prompt="选择是否通过" sqref="K4:K10">
      <formula1>"是,否"</formula1>
    </dataValidation>
    <dataValidation type="list" allowBlank="1" showInputMessage="1" showErrorMessage="1" errorTitle="选项无效" error="请从下拉列表中选择。" promptTitle="请选择" prompt="选择缺陷等级" sqref="L4:L10">
      <formula1>"阻塞,高,中,低,轻微"</formula1>
    </dataValidation>
    <dataValidation type="list" allowBlank="1" showInputMessage="1" showErrorMessage="1" errorTitle="选项无效" error="请从下拉列表中选择。" promptTitle="请选择" prompt="选择修复情况" sqref="O4:O10">
      <formula1>"已完成,待讨论,暂不修复"</formula1>
    </dataValidation>
    <dataValidation type="list" allowBlank="1" showInputMessage="1" showErrorMessage="1" errorTitle="选项无效" error="请从下拉列表中选择。" promptTitle="请选择" prompt="选择回归情况" sqref="P4:P10">
      <formula1>"通过,不通过"</formula1>
    </dataValidation>
  </dataValidations>
  <pageMargins left="0.75" right="0.75" top="1" bottom="1" header="0.5" footer="0.5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测试说明</vt:lpstr>
      <vt:lpstr>登录</vt:lpstr>
      <vt:lpstr>注册</vt:lpstr>
      <vt:lpstr>邮箱验证码</vt:lpstr>
      <vt:lpstr>忘记密码</vt:lpstr>
      <vt:lpstr>会话与退出</vt:lpstr>
      <vt:lpstr>权限与安全回跳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SUZHIXIN</cp:lastModifiedBy>
  <dcterms:created xsi:type="dcterms:W3CDTF">2026-08-09T07:05:00Z</dcterms:created>
  <dcterms:modified xsi:type="dcterms:W3CDTF">2026-08-11T15:26:41Z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85DF409A09044732812CB5C53F6031E1_13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