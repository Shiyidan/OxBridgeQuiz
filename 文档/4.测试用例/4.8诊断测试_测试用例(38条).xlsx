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920" activeTab="9"/>
  </bookViews>
  <sheets>
    <sheet name="测试说明" sheetId="1" r:id="rId1"/>
    <sheet name="入口与年份" sheetId="2" r:id="rId2"/>
    <sheet name="选卷与资格" sheetId="3" r:id="rId3"/>
    <sheet name="创建与重测" sheetId="4" r:id="rId4"/>
    <sheet name="暂停与恢复" sheetId="5" r:id="rId5"/>
    <sheet name="ESAT分段" sheetId="6" r:id="rId6"/>
    <sheet name="TMUA分段" sheetId="7" r:id="rId7"/>
    <sheet name="交卷与同步" sheetId="8" r:id="rId8"/>
    <sheet name="报告与历史" sheetId="9" r:id="rId9"/>
    <sheet name="后台联动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<sst xmlns="http://schemas.openxmlformats.org/spreadsheetml/2006/main" count="621" uniqueCount="320">
  <si>
    <t>4.8 诊断测试人工测试用例</t>
  </si>
  <si>
    <t>本轮人工P0：覆盖真实浏览器端到端旅程、可见权限、暂停恢复、正式交卷后的跨页面增量与后台联动。</t>
  </si>
  <si>
    <t>文档版本</t>
  </si>
  <si>
    <t>当前版（2026-08-09）</t>
  </si>
  <si>
    <t>生成日期</t>
  </si>
  <si>
    <t>用例总数</t>
  </si>
  <si>
    <t>需求来源</t>
  </si>
  <si>
    <t>文档/4-需求文档/4.8 诊断测试.md</t>
  </si>
  <si>
    <t>默认状态</t>
  </si>
  <si>
    <t>未执行</t>
  </si>
  <si>
    <t>关联规则</t>
  </si>
  <si>
    <t>4.6在线答题、4.7试卷管理、4.2会员权益、4.3个人中心、4.9支付、4.8.1诊断报告；4.8诊断专项规则优先。</t>
  </si>
  <si>
    <t>模块覆盖统计</t>
  </si>
  <si>
    <t>模块</t>
  </si>
  <si>
    <t>用例数</t>
  </si>
  <si>
    <t>P0</t>
  </si>
  <si>
    <t>是否通过-是</t>
  </si>
  <si>
    <t>是否通过-否</t>
  </si>
  <si>
    <t>严重缺陷</t>
  </si>
  <si>
    <t>已完成修复</t>
  </si>
  <si>
    <t>回归通过</t>
  </si>
  <si>
    <t>入口与年份</t>
  </si>
  <si>
    <t>选卷与资格</t>
  </si>
  <si>
    <t>创建与重测</t>
  </si>
  <si>
    <t>暂停与恢复</t>
  </si>
  <si>
    <t>ESAT分段</t>
  </si>
  <si>
    <t>TMUA分段</t>
  </si>
  <si>
    <t>交卷与同步</t>
  </si>
  <si>
    <t>报告与历史</t>
  </si>
  <si>
    <t>后台联动</t>
  </si>
  <si>
    <t>合计</t>
  </si>
  <si>
    <t>使用说明</t>
  </si>
  <si>
    <t>执行方式</t>
  </si>
  <si>
    <t>使用真实浏览器按编号步骤执行；涉及次数或状态时先记录基线，验证未完成不变化，再正式交卷并返回来源页面复核。</t>
  </si>
  <si>
    <t>数据准备</t>
  </si>
  <si>
    <t>准备游客、普通学生、ESAT/TMUA会员、管理员、可控支付、不同发布状态试卷以及可暂停和故障注入的测试数据。</t>
  </si>
  <si>
    <t>判定原则</t>
  </si>
  <si>
    <t>关键步骤全部符合预期才填写是否通过=是；当前实现待对齐项按需求结果判定并登记缺陷。</t>
  </si>
  <si>
    <t>缺陷记录</t>
  </si>
  <si>
    <t>失败时填写缺陷等级和实际结果；修复后补充修复情况与回归情况。</t>
  </si>
  <si>
    <t>自动化分工</t>
  </si>
  <si>
    <t>参数边界、并发、时钟、幂等、原子性和越权矩阵由自动化工作簿覆盖，不在人工表重复展开。</t>
  </si>
  <si>
    <t>4.8 诊断测试人工测试用例｜入口与年份</t>
  </si>
  <si>
    <t>来源：文档/4-需求文档/4.8 诊断测试.md　｜　范围：P0页面操作、状态旅程与可见结果　｜　入口与年份：4 条</t>
  </si>
  <si>
    <t>用例编号</t>
  </si>
  <si>
    <t>功能模块</t>
  </si>
  <si>
    <t>用例标题</t>
  </si>
  <si>
    <t>优先级</t>
  </si>
  <si>
    <t>用例类型</t>
  </si>
  <si>
    <t>前置条件</t>
  </si>
  <si>
    <t>测试数据</t>
  </si>
  <si>
    <t>操作步骤</t>
  </si>
  <si>
    <t>预期结果</t>
  </si>
  <si>
    <t>执行状态</t>
  </si>
  <si>
    <t>是否通过</t>
  </si>
  <si>
    <t>缺陷等级</t>
  </si>
  <si>
    <t>实际结果</t>
  </si>
  <si>
    <t>备注</t>
  </si>
  <si>
    <t>修复情况</t>
  </si>
  <si>
    <t>回归情况</t>
  </si>
  <si>
    <t>DIAG-ENTRY-001</t>
  </si>
  <si>
    <t>游客浏览年份并在登录后返回诊断首页</t>
  </si>
  <si>
    <t>流程</t>
  </si>
  <si>
    <t>浏览器未登录；ESAT、TMUA均有已上线诊断年份</t>
  </si>
  <si>
    <t>入口：诊断测试；任一可用年份</t>
  </si>
  <si>
    <t>1. 以游客身份进入诊断测试首页并记录当前考试和年份卡片
2. 点击一个年份并执行开始类操作
3. 确认页面进入登录流程且未创建测试
4. 使用有效学生账号完成登录
5. 确认登录后返回诊断首页，并再次打开原考试年份</t>
  </si>
  <si>
    <t>游客可浏览年份和考试结构；开始前必须登录；登录成功回到诊断首页且未提前创建测试，原考试上下文可继续操作。</t>
  </si>
  <si>
    <t>是</t>
  </si>
  <si>
    <t>DIAG-ENTRY-002</t>
  </si>
  <si>
    <t>全局考试切换只展示最后选择的考试数据</t>
  </si>
  <si>
    <t>功能</t>
  </si>
  <si>
    <t>ESAT和TMUA存在不同年份；可模拟一方加载较慢</t>
  </si>
  <si>
    <t>快速切换顺序：ESAT→TMUA→ESAT</t>
  </si>
  <si>
    <t>1. 进入诊断首页并记录当前全局考试类型和年份
2. 快速按测试数据切换全局考试类型
3. 等待所有加载请求完成
4. 核对标题、说明、年份卡片和弹窗入口
5. 刷新页面并再次核对当前考试</t>
  </si>
  <si>
    <t>最终只展示最后选择的ESAT数据；延迟返回的TMUA数据不能覆盖页面；诊断页内不出现重复的考试筛选。</t>
  </si>
  <si>
    <t>否</t>
  </si>
  <si>
    <t>高</t>
  </si>
  <si>
    <t>备考类型选择esat，页面刷新后备考类型恢复到tmua</t>
  </si>
  <si>
    <t>DIAG-ENTRY-003</t>
  </si>
  <si>
    <t>年份卡片状态、历史次数和倒序展示正确</t>
  </si>
  <si>
    <t>校验</t>
  </si>
  <si>
    <t>同一考试准备未完成、进行中、已完成三个年份</t>
  </si>
  <si>
    <t>2024未完成；2023已完成2次；2022进行中且有1次历史</t>
  </si>
  <si>
    <t>1. 登录学生并进入对应考试的诊断首页
2. 记录后台准备的各年份状态和历史次数基线H
3. 自上而下核对年份排序、考试构成和状态文案
4. 打开存在历史的年份并核对独立历史入口
5. 对未完成年份完成一次正式交卷后返回诊断首页
6. 刷新页面后再次核对状态优先级和历史次数</t>
  </si>
  <si>
    <t>年份按倒序展示；进行中优先于已完成，已提交记录显示已完成，无记录显示未完成；正式交卷后目标年份历史次数H+1，其他年份保持不变。</t>
  </si>
  <si>
    <t>DIAG-ENTRY-004</t>
  </si>
  <si>
    <t>加载失败、真正空数据与已下线历史年份明确区分</t>
  </si>
  <si>
    <t>异常</t>
  </si>
  <si>
    <t>可分别模拟加载失败、无可见年份、仅有已下线进行中或历史记录</t>
  </si>
  <si>
    <t>失败；空数据；已下线+进行中；已下线+已完成</t>
  </si>
  <si>
    <t>1. 分别使用四组数据进入诊断首页
2. 记录每组页面标题和年份区域内容
3. 在失败组点击重新加载
4. 在已下线组打开继续或历史入口
5. 刷新页面并核对上下文仍属于原考试</t>
  </si>
  <si>
    <t>失败显示原因和重新加载，不能伪装为空；空数据明确提示暂无已上线年份；已下线但有进行中或历史的年份仍保留继续或历史入口。</t>
  </si>
  <si>
    <t>当前实现待对齐：年份卡片需要明确展示“已下线”。</t>
  </si>
  <si>
    <t>4.8 诊断测试人工测试用例｜选卷与资格</t>
  </si>
  <si>
    <t>来源：文档/4-需求文档/4.8 诊断测试.md　｜　范围：P0页面操作、状态旅程与可见结果　｜　选卷与资格：6 条</t>
  </si>
  <si>
    <t>DIAG-SELECT-001</t>
  </si>
  <si>
    <t>ESAT三科选择与精确组合匹配</t>
  </si>
  <si>
    <t>目标年份有多个已上线ESAT组合卷</t>
  </si>
  <si>
    <t>必选Mathematics 1；另选Physics、Chemistry</t>
  </si>
  <si>
    <t>1. 进入ESAT诊断首页并点击目标年份
2. 核对Mathematics 1默认选中且不可取消
3. 只选一门可选科并核对开始按钮
4. 再选第二门并核对匹配卷名称、题量、总时长和会员属性
5. 尝试选择第四科，先取消一科后再替换
6. 确认最终组合并开始</t>
  </si>
  <si>
    <t>不足三科不能开始；恰好三科才能匹配；选满后不能直接增加第四科；按年份和三个科目精确匹配并进入所选卷第一科。</t>
  </si>
  <si>
    <t>DIAG-SELECT-002</t>
  </si>
  <si>
    <t>ESAT无已发布组合时阻止开始并保留选择上下文</t>
  </si>
  <si>
    <t>目标年份不存在所选三科的已上线组合卷</t>
  </si>
  <si>
    <t>Mathematics 1+Biology+Mathematics 2</t>
  </si>
  <si>
    <t>1. 打开目标年份ESAT选科弹窗
2. 选择测试数据中的三科组合
3. 核对匹配结果和主按钮状态
4. 切换其中一科后再次匹配
5. 关闭并重新打开同一年份弹窗</t>
  </si>
  <si>
    <t>无匹配时显示“该年份暂无所选科目组合的已发布诊断卷”，开始按钮不可用且不创建测试；更换组合后按新组合重新匹配。</t>
  </si>
  <si>
    <t>DIAG-SELECT-003</t>
  </si>
  <si>
    <t>TMUA只允许完整双卷开始或重测</t>
  </si>
  <si>
    <t>分别准备完整Paper 1+Paper 2和缺失任一Paper的年份</t>
  </si>
  <si>
    <t>完整双卷；仅Paper 1；仅Paper 2</t>
  </si>
  <si>
    <t>1. 切换到TMUA并打开完整双卷年份
2. 核对弹窗展示两卷必做、各卷题量和用途
3. 确认后进入Paper 1
4. 返回首页并打开不完整年份
5. 尝试确认开始或重新测试</t>
  </si>
  <si>
    <t>完整双卷可进入Paper 1；缺失任一Paper时明确提示结构不完整并阻止创建，不得以单卷开始。</t>
  </si>
  <si>
    <t>DIAG-SELECT-004</t>
  </si>
  <si>
    <t>会员卷购买成功后原页面即时解锁</t>
  </si>
  <si>
    <t>普通学生无目标考试会员；目标年份只有已上线会员卷；支付测试通道可成功</t>
  </si>
  <si>
    <t>分别执行ESAT和TMUA会员卷</t>
  </si>
  <si>
    <t>1. 登录普通学生并打开目标年份，记录锁定状态
2. 点击开通会员并核对支付弹窗预选当前考试
3. 完成真实测试支付并等待权益生效提示
4. 不刷新整个页面，返回原选择弹窗或年份卡片
5. 立即确认并开始诊断</t>
  </si>
  <si>
    <t>无会员时显示锁定和开通入口；支付成功后刷新对应考试权益，原页面解除锁定并可直接开始；另一考试权益保持不变。</t>
  </si>
  <si>
    <t>开通会员功能未上线</t>
  </si>
  <si>
    <t>DIAG-SELECT-005</t>
  </si>
  <si>
    <t>ESAT与TMUA会员权限严格隔离</t>
  </si>
  <si>
    <t>权限</t>
  </si>
  <si>
    <t>学生仅有ESAT有效会员；两类考试均有会员卷</t>
  </si>
  <si>
    <t>ESAT有效会员；TMUA无会员</t>
  </si>
  <si>
    <t>1. 登录学生并记录ESAT与TMUA会员状态基线
2. 进入ESAT会员卷年份并完成开始，随后暂停返回
3. 切换到TMUA会员卷年份
4. 核对锁定状态并尝试开始
5. 再切回ESAT核对权益未受影响</t>
  </si>
  <si>
    <t>ESAT会员只解锁ESAT会员卷；TMUA仍锁定且不能创建；切换考试后两类会员状态均保持原值。</t>
  </si>
  <si>
    <t>DIAG-SELECT-006</t>
  </si>
  <si>
    <t>同考试进行中优先提示且跨考试互不阻断</t>
  </si>
  <si>
    <t>学生已有一场2022 ESAT进行中；TMUA无进行中</t>
  </si>
  <si>
    <t>点击2024 ESAT和任一TMUA年份</t>
  </si>
  <si>
    <t>1. 进入ESAT诊断首页并点击其他年份
2. 核对继续原测试提示并点击取消
3. 确认没有创建新ESAT测试
4. 再次点击并确认继续，核对进入2022原测试真实阶段
5. 返回后切换TMUA并开始一场可用诊断</t>
  </si>
  <si>
    <t>任意ESAT新开始或重测先定位原进行中；取消只关闭提示；确认恢复原测试；ESAT进行中不阻止创建TMUA测试。</t>
  </si>
  <si>
    <t>4.8 诊断测试人工测试用例｜创建与重测</t>
  </si>
  <si>
    <t>来源：文档/4-需求文档/4.8 诊断测试.md　｜　范围：P0页面操作、状态旅程与可见结果　｜　创建与重测：4 条</t>
  </si>
  <si>
    <t>DIAG-CREATE-001</t>
  </si>
  <si>
    <t>免费卷创建后冻结结构且未交卷不增加诊断次数</t>
  </si>
  <si>
    <t>学生无进行中测试；目标免费卷已上线</t>
  </si>
  <si>
    <t>操作前个人中心诊断次数D；历史次数H</t>
  </si>
  <si>
    <t>1. 进入个人中心记录目标考试D，再到年份卡记录H
2. 选择免费卷并成功开始
3. 核对进入第一分段，记录年份、分段顺序、题量和时长
4. 作答部分题目后保存并暂停返回
5. 回到年份卡和个人中心刷新并重新记录H、D
6. 继续测试并核对结构与开始时一致
7. 完成全部分段并正式交卷，再返回刷新H、D</t>
  </si>
  <si>
    <t>创建后年份变为进行中并冻结本次结构；暂停仍是同一测试且H、D保持不变；正式交卷后H+1、D+1。</t>
  </si>
  <si>
    <t>DIAG-CREATE-002</t>
  </si>
  <si>
    <t>重新测试创建空白记录并永久保留旧成绩</t>
  </si>
  <si>
    <t>学生已完成目标卷；试卷仍上线且当前资格有效</t>
  </si>
  <si>
    <t>历史基线H；旧成绩S1</t>
  </si>
  <si>
    <t>1. 打开目标年份历史记录并记录H和S1
2. 关闭历史并选择重新测试
3. 核对进入空白的新测试且旧答案未带入
4. 完成新测试并正式交卷得到S2
5. 返回历史刷新，核对两次记录和顺序
6. 重新登录后再次查看历史</t>
  </si>
  <si>
    <t>重测形成独立空白测试；正式交卷后历史为H+1，S1和S2均保留且新记录在前；刷新和重新登录不丢失。</t>
  </si>
  <si>
    <t>DIAG-CREATE-003</t>
  </si>
  <si>
    <t>旧页面上的开始或重测按最新资格拒绝</t>
  </si>
  <si>
    <t>学生已停留在可开始或重测页面；管理员可下线试卷或改为会员卷</t>
  </si>
  <si>
    <t>场景A：下线；场景B：免费改会员且学生无会员</t>
  </si>
  <si>
    <t>1. 学生打开目标卷并记录诊断次数基线，停留在可确认页面
2. 管理员按场景修改试卷状态或访问级别
3. 学生不刷新页面直接点击开始或重测
4. 核对提示、页面刷新后的年份状态和测试列表
5. 返回个人中心确认没有发生正式创建且诊断次数保持不变</t>
  </si>
  <si>
    <t>服务端按最新状态拒绝，不创建测试、不增加次数；页面给出对应提示并刷新为下线或锁定状态。</t>
  </si>
  <si>
    <t>DIAG-CREATE-004</t>
  </si>
  <si>
    <t>创建响应丢失后重试只恢复同一场测试</t>
  </si>
  <si>
    <t>可模拟创建请求成功但响应丢失</t>
  </si>
  <si>
    <t>同一账号、考试类型和选卷组合</t>
  </si>
  <si>
    <t>1. 记录当前考试没有进行中测试
2. 点击开始并在服务端成功后模拟响应丢失
3. 保持原选择再次点击开始或刷新后点击继续
4. 核对进入的测试标识、第一分段和已保存状态
5. 返回首页核对进行中数量</t>
  </si>
  <si>
    <t>重试先找到并恢复第一次创建的测试；同一考试类型只有一场进行中，不产生第二份空白记录。</t>
  </si>
  <si>
    <t>4.8 诊断测试人工测试用例｜暂停与恢复</t>
  </si>
  <si>
    <t>来源：文档/4-需求文档/4.8 诊断测试.md　｜　范围：P0页面操作、状态旅程与可见结果　｜　暂停与恢复：4 条</t>
  </si>
  <si>
    <t>DIAG-RESUME-001</t>
  </si>
  <si>
    <t>主动保存返回后恢复原分段、答案和剩余时间</t>
  </si>
  <si>
    <t>学生正在任一诊断分段作答</t>
  </si>
  <si>
    <t>记录当前分段、已答题和剩余时间T</t>
  </si>
  <si>
    <t>1. 在当前分段作答并记录题目答案和T
2. 点击返回诊断中心并确认保存提示
3. 等待保存成功后返回年份卡
4. 点击继续测试
5. 核对原分段、答案和恢复时间
6. 刷新答题页再次核对</t>
  </si>
  <si>
    <t>只有暂停保存成功才离开；继续进入同一场测试和原分段，答案保留，剩余时间从冻结值恢复且刷新不重置。</t>
  </si>
  <si>
    <t>DIAG-RESUME-002</t>
  </si>
  <si>
    <t>切换后台、最小化或锁屏后暂停并可继续</t>
  </si>
  <si>
    <t>可在支持的浏览器和设备执行页面隐藏操作</t>
  </si>
  <si>
    <t>切换标签页；最小化；设备锁屏</t>
  </si>
  <si>
    <t>1. 开始一个分段并记录剩余时间和答案
2. 分别执行测试数据中的页面隐藏操作
3. 返回页面观察暂停或恢复提示
4. 点击继续并核对真实阶段和时间
5. 返回诊断首页后再次继续同一测试</t>
  </si>
  <si>
    <t>页面隐藏进入暂停；返回后恢复同一阶段、答案和冻结时间；不得因此创建新测试或延长时长。</t>
  </si>
  <si>
    <t>DIAG-RESUME-003</t>
  </si>
  <si>
    <t>异常退出未成功暂停时按原截止时间结算</t>
  </si>
  <si>
    <t>可阻断暂停请求并关闭浏览器；当前分段剩余时间较短</t>
  </si>
  <si>
    <t>剩余时间T；离开时间大于T</t>
  </si>
  <si>
    <t>1. 进入当前分段并记录T和已保存答案
2. 阻断暂停请求后直接关闭浏览器
3. 等待超过T再重新登录
4. 从诊断首页点击继续
5. 核对系统恢复的阶段、锁定状态和答案</t>
  </si>
  <si>
    <t>未成功暂停时离开时间不能补回；已到时的分段先锁定并进入下一阶段或交卷；已保存答案保留。</t>
  </si>
  <si>
    <t>没有暂停功能</t>
  </si>
  <si>
    <t>DIAG-RESUME-004</t>
  </si>
  <si>
    <t>恢复失败时不展示可操作题目且可安全重试</t>
  </si>
  <si>
    <t>学生有进行中测试；可模拟恢复读取失败后恢复服务</t>
  </si>
  <si>
    <t>一次恢复失败后成功</t>
  </si>
  <si>
    <t>1. 点击进行中年份的继续测试
2. 模拟恢复失败并观察页面内容
3. 确认页面未开放题目和提交操作
4. 恢复服务并点击重新恢复
5. 核对进入系统确认的真实阶段和剩余时间</t>
  </si>
  <si>
    <t>失败时明确提示并提供重试或返回；不显示可编辑题目、不重置答案或时间；重试后恢复原测试。</t>
  </si>
  <si>
    <t>4.8 诊断测试人工测试用例｜ESAT分段</t>
  </si>
  <si>
    <t>来源：文档/4-需求文档/4.8 诊断测试.md　｜　范围：P0页面操作、状态旅程与可见结果　｜　ESAT分段：4 条</t>
  </si>
  <si>
    <t>DIAG-ESAT-001</t>
  </si>
  <si>
    <t>ESAT三科按顺序完成且前两科后进入180秒休息</t>
  </si>
  <si>
    <t>已创建合法ESAT三科诊断</t>
  </si>
  <si>
    <t>Mathematics 1→Physics→Chemistry</t>
  </si>
  <si>
    <t>1. 在第一科作答并主动结束
2. 核对第一科永久锁定并进入180秒休息
3. 等待休息结束进入第二科并完成
4. 核对第二次180秒休息后进入第三科
5. 完成第三科并观察最终交卷流程
6. 尝试通过题号或浏览器返回进入旧科目</t>
  </si>
  <si>
    <t>三科严格按冻结顺序；前两科结束后各有180秒休息，第三科后直接最终交卷；已结束科目不能返回修改。</t>
  </si>
  <si>
    <t>DIAG-ESAT-002</t>
  </si>
  <si>
    <t>跳过休息只推进一次并进入正确下一科</t>
  </si>
  <si>
    <t>ESAT处于第一或第二次休息阶段</t>
  </si>
  <si>
    <t>连续点击跳过；网络慢响应</t>
  </si>
  <si>
    <t>1. 记录当前休息所属科目和下一科
2. 连续多次点击跳过休息
3. 等待所有响应结束并核对当前阶段
4. 刷新页面并再次核对
5. 尝试浏览器返回休息页</t>
  </si>
  <si>
    <t>休息只结束一次，进入唯一正确的下一科；不得跳过科目、创建重复阶段或重新开放休息。</t>
  </si>
  <si>
    <t>DIAG-ESAT-003</t>
  </si>
  <si>
    <t>休息暂停后恢复同一休息阶段和剩余秒数</t>
  </si>
  <si>
    <t>ESAT处于180秒休息阶段</t>
  </si>
  <si>
    <t>剩余休息时间R</t>
  </si>
  <si>
    <t>1. 等待休息倒计时下降并记录R
2. 保存返回或切换后台使休息暂停
3. 等待一段时间后返回诊断首页
4. 点击继续测试
5. 核对仍在同一次休息且从R附近恢复
6. 跳过或等待结束进入下一科</t>
  </si>
  <si>
    <t>休息可暂停并冻结剩余时间；继续时不重置为180秒、不进入错误科目；结束后只推进一次。</t>
  </si>
  <si>
    <t>DIAG-ESAT-004</t>
  </si>
  <si>
    <t>倒计时归零自动锁定当前科且刷新回退不可修改</t>
  </si>
  <si>
    <t>ESAT当前科目剩余时间可调至短时</t>
  </si>
  <si>
    <t>含已答和未答题</t>
  </si>
  <si>
    <t>1. 在当前科记录答案状态基线，保存部分答案并保留未答题
2. 等待倒计时归零
3. 核对系统锁定并进入休息或最终交卷
4. 使用刷新、浏览器返回和另一个窗口访问原科目
5. 尝试修改已答或补答未答题</t>
  </si>
  <si>
    <t>到时后答案按已保存状态永久锁定，未答保持未答；任何刷新、回退或多窗口都不能重新开放。</t>
  </si>
  <si>
    <t>4.8 诊断测试人工测试用例｜TMUA分段</t>
  </si>
  <si>
    <t>来源：文档/4-需求文档/4.8 诊断测试.md　｜　范围：P0页面操作、状态旅程与可见结果　｜　TMUA分段：3 条</t>
  </si>
  <si>
    <t>DIAG-TMUA-001</t>
  </si>
  <si>
    <t>TMUA两卷独立75分钟且Paper 1后直接进入Paper 2</t>
  </si>
  <si>
    <t>已创建合法TMUA完整双卷</t>
  </si>
  <si>
    <t>Paper 1和Paper 2各20题、75分钟</t>
  </si>
  <si>
    <t>1. 进入Paper 1并核对题量和75分钟倒计时
2. 作答后主动结束Paper 1
3. 核对Paper 1锁定且直接进入Paper 2，无休息倒计时
4. 核对Paper 2重新拥有独立75分钟和20题
5. 完成Paper 2并进入最终交卷
6. 尝试返回Paper 1</t>
  </si>
  <si>
    <t>两卷各20题、独立75分钟；Paper 1后直接开始Paper 2；Paper 1永久锁定，Paper 2结束后才能最终交卷。</t>
  </si>
  <si>
    <t>DIAG-TMUA-002</t>
  </si>
  <si>
    <t>Paper切换失败后按真实锁定状态恢复</t>
  </si>
  <si>
    <t>可在Paper 1结束切换时模拟失败</t>
  </si>
  <si>
    <t>场景A：Paper 1未锁定；场景B：已锁定但页面未收到结果</t>
  </si>
  <si>
    <t>1. 分别准备两个场景并记录Paper 1答案与锁定状态基线
2. 结束Paper 1并在切换节点模拟网络失败
3. 刷新或点击恢复测试
4. 核对当前Paper、锁定状态和答案
5. 继续完成整场并正式交卷后查看历史</t>
  </si>
  <si>
    <t>Paper 1未锁定则恢复Paper 1；已锁定则进入Paper 2；不得跳过Paper 2、新建测试或重复保存，原答案保持不变。</t>
  </si>
  <si>
    <t>DIAG-TMUA-003</t>
  </si>
  <si>
    <t>TMUA倒计时归零依次锁定且不能跳过Paper 2</t>
  </si>
  <si>
    <t>可将两卷剩余时间调短</t>
  </si>
  <si>
    <t>Paper 1到时；Paper 2到时</t>
  </si>
  <si>
    <t>1. 在Paper 1保留部分未答并等待到时
2. 核对锁定并进入Paper 2
3. 在Paper 2同样等待到时
4. 核对进入最终交卷
5. 使用刷新和返回尝试修改两卷答案</t>
  </si>
  <si>
    <t>每卷到时独立锁定，未答保持未答；必须经历Paper 2后才能交卷；两卷均不能通过回退重新开放。</t>
  </si>
  <si>
    <t>4.8 诊断测试人工测试用例｜交卷与同步</t>
  </si>
  <si>
    <t>来源：文档/4-需求文档/4.8 诊断测试.md　｜　范围：P0页面操作、状态旅程与可见结果　｜　交卷与同步：4 条</t>
  </si>
  <si>
    <t>DIAG-SUBMIT-001</t>
  </si>
  <si>
    <t>正式交卷后历史和个人中心诊断次数精确增加一次</t>
  </si>
  <si>
    <t>学生无进行中测试；目标卷可完成；个人中心可查看统计</t>
  </si>
  <si>
    <t>操作前历史H、诊断次数D、另一考试次数D2</t>
  </si>
  <si>
    <t>1. 在年份卡和个人中心记录H、D、D2
2. 创建测试并完成部分分段后暂停返回
3. 刷新年份卡和个人中心，核对H、D、D2仍为基线
4. 继续同一测试并完成全部分段正式交卷
5. 在报告仍生成中时返回年份卡和个人中心刷新
6. 核对历史、次数、进行中占用和另一考试
7. 重新登录后再次核对</t>
  </si>
  <si>
    <t>暂停或全部分段完成但未成功交卷时统计不变；正式交卷后H+1、D+1，D2不变，进行中占用释放；报告状态不影响次数，刷新和重登录后持久。</t>
  </si>
  <si>
    <t>DIAG-SUBMIT-002</t>
  </si>
  <si>
    <t>交卷响应丢失、重复点击和多窗口只产生一个完成结果</t>
  </si>
  <si>
    <t>测试已到最终交卷；可模拟响应丢失并打开两个窗口</t>
  </si>
  <si>
    <t>历史H、诊断次数D、报告任务R</t>
  </si>
  <si>
    <t>1. 记录H、D和当前报告任务数R
2. 在两个窗口对同一测试执行最终交卷并模拟首个成功响应丢失
3. 重复点击或重试提交
4. 返回历史和个人中心刷新
5. 打开分析进度并核对任务
6. 再次刷新和重新登录</t>
  </si>
  <si>
    <t>只形成一条完成记录、H+1、D+1和一个报告任务R+1；所有重试返回同一完成结果，不重复计数。</t>
  </si>
  <si>
    <t>DIAG-SUBMIT-003</t>
  </si>
  <si>
    <t>交卷明确失败时保留锁定答卷并可重试</t>
  </si>
  <si>
    <t>全部分段已锁定；可模拟交卷失败后恢复</t>
  </si>
  <si>
    <t>历史H、诊断次数D</t>
  </si>
  <si>
    <t>1. 记录H、D并完成全部分段
2. 在最终交卷时模拟明确失败
3. 核对错误提示并尝试返回题目修改
4. 恢复服务后从原测试重试交卷
5. 返回历史和个人中心刷新
6. 核对最终记录和次数</t>
  </si>
  <si>
    <t>失败时H、D不增加，全部锁定答案仍保留且不能修改；重试成功后只增加一次并进入报告流程。</t>
  </si>
  <si>
    <t>DIAG-SUBMIT-004</t>
  </si>
  <si>
    <t>交卷释放本考试占用并允许开始其他诊断</t>
  </si>
  <si>
    <t>当前考试有进行中测试，另有可用年份或组合</t>
  </si>
  <si>
    <t>同考试另一年份；另一考试年份</t>
  </si>
  <si>
    <t>1. 在交卷前点击同考试其他年份并核对继续原测试提示
2. 返回原测试完成最终交卷
3. 回到诊断首页点击同考试其他年份
4. 确认可以按正常选卷流程创建新测试
5. 切换另一考试并核对原考试完成状态不影响选择</t>
  </si>
  <si>
    <t>交卷前同考试互斥；交卷成功后占用立即释放，可开始或重测同考试其他卷；跨考试始终独立。</t>
  </si>
  <si>
    <t>4.8 诊断测试人工测试用例｜报告与历史</t>
  </si>
  <si>
    <t>来源：文档/4-需求文档/4.8 诊断测试.md　｜　范围：P0页面操作、状态旅程与可见结果　｜　报告与历史：4 条</t>
  </si>
  <si>
    <t>DIAG-REPORT-001</t>
  </si>
  <si>
    <t>报告待处理、生成中和完成状态使用真实任务进度</t>
  </si>
  <si>
    <t>已正式交卷；可控制报告任务从待处理到完成</t>
  </si>
  <si>
    <t>ESAT和TMUA各一条完成记录</t>
  </si>
  <si>
    <t>1. 交卷后保持分析弹窗打开并记录待处理状态
2. 推进任务至生成中并核对进度未提前到100%
3. 关闭弹窗后从历史入口查看同一任务进度
4. 推进任务完成并打开报告
5. 分别核对ESAT和TMUA报告去向</t>
  </si>
  <si>
    <t>状态和进度来自真实任务；后台未完成前不能到100%；关闭弹窗后任务保持生成且诊断次数不变；完成后进入对应考试报告页且不串页。</t>
  </si>
  <si>
    <t>当前实现待对齐：交卷弹窗与历史进度口径需统一或明确区分。</t>
  </si>
  <si>
    <t>DIAG-REPORT-002</t>
  </si>
  <si>
    <t>报告失败后重新分析不改变成绩和诊断次数</t>
  </si>
  <si>
    <t>一条已完成诊断的报告任务失败</t>
  </si>
  <si>
    <t>成绩S、历史H、诊断次数D、交卷时间T</t>
  </si>
  <si>
    <t>1. 记录失败记录的S、H、D、T
2. 从分析弹窗或历史点击重新分析
3. 核对任务重新进入处理状态
4. 返回个人中心和历史刷新
5. 等待报告完成并再次查看原记录</t>
  </si>
  <si>
    <t>重新分析只重启报告任务；S、H、D、T保持不变，不重复交卷或新增次数；完成报告仍绑定原答卷。</t>
  </si>
  <si>
    <t>DIAG-REPORT-003</t>
  </si>
  <si>
    <t>历史记录分页、倒序和字段展示完整</t>
  </si>
  <si>
    <t>目标考试和年份有超过一页的多次已提交记录</t>
  </si>
  <si>
    <t>不同组合、成绩、用时和报告状态</t>
  </si>
  <si>
    <t>1. 打开目标年份的历史入口并记录总次数
2. 核对第一页按交卷时间从近到远
3. 检查每条记录的标识、次数、时间、正确题数、总题数、有效用时和报告状态
4. 翻页并核对无重复或遗漏
5. 根据报告状态点击查看、进度或重新分析操作</t>
  </si>
  <si>
    <t>历史只汇总当前考试和年份的已提交诊断，倒序分页；字段完整、总次数保持不变且无重复遗漏，操作与各自报告状态一致。</t>
  </si>
  <si>
    <t>DIAG-REPORT-004</t>
  </si>
  <si>
    <t>会员到期或试卷下线后历史和已生成报告仍可访问</t>
  </si>
  <si>
    <t>学生已有完成记录和报告；可使会员到期并将试卷归档</t>
  </si>
  <si>
    <t>会员到期；试卷归档；访问级别改变</t>
  </si>
  <si>
    <t>1. 在变更前打开并记录历史与报告
2. 使会员到期并将试卷归档或改变访问级别
3. 学生刷新诊断首页并打开保留的年份
4. 进入历史并查看原报告
5. 尝试重新测试</t>
  </si>
  <si>
    <t>历史入口和已生成报告持续可访问；归档后年份明确已下线且不能重测；会员到期只影响新的会员卷测试，不删除历史。</t>
  </si>
  <si>
    <t>4.8 诊断测试人工测试用例｜后台联动</t>
  </si>
  <si>
    <t>来源：文档/4-需求文档/4.8 诊断测试.md　｜　范围：P0页面操作、状态旅程与可见结果　｜　后台联动：5 条</t>
  </si>
  <si>
    <t>DIAG-ADMIN-001</t>
  </si>
  <si>
    <t>试卷归档后新用户不可见、进行中可继续、历史可查看</t>
  </si>
  <si>
    <t>同卷准备无记录、进行中、已完成三名学生；管理员可归档</t>
  </si>
  <si>
    <t>三类学生；状态已上线→已归档</t>
  </si>
  <si>
    <t>1. 三名学生分别记录归档前入口和状态
2. 管理员将试卷改为已归档
3. 无记录学生刷新并尝试查找该卷
4. 进行中学生刷新并继续完成原测试
5. 已完成学生打开历史和报告并尝试重测</t>
  </si>
  <si>
    <t>无记录学生无新入口；进行中年份保留并标识已下线且可继续；历史次数保持不变、报告保留但不可重测。</t>
  </si>
  <si>
    <t>当前实现待对齐：学生年份卡需补充已下线可见标识。</t>
  </si>
  <si>
    <t>DIAG-ADMIN-002</t>
  </si>
  <si>
    <t>有学生记录的试卷删除被拒绝并提示归档</t>
  </si>
  <si>
    <t>分别有进行中或已完成记录的试卷；另有无任何关联记录的草稿卷</t>
  </si>
  <si>
    <t>进行中卷；已完成卷；无记录草稿卷</t>
  </si>
  <si>
    <t>1. 管理员在真题库定位三类试卷
2. 分别执行删除并记录结果
3. 对有记录试卷按提示改为归档
4. 使用对应学生刷新诊断首页和历史
5. 核对无记录草稿卷已删除</t>
  </si>
  <si>
    <t>进行中或完成记录存在时删除被拒绝并提示归档；归档不丢失继续和历史；只有无学生关联记录的卷可删除。</t>
  </si>
  <si>
    <t>DIAG-ADMIN-003</t>
  </si>
  <si>
    <t>免费与会员访问级别变更只影响新测试和重测</t>
  </si>
  <si>
    <t>普通学生分别有进行中、已完成和无记录状态；管理员可修改访问级别</t>
  </si>
  <si>
    <t>免费→会员；会员→免费</t>
  </si>
  <si>
    <t>1. 各学生记录变更前入口、继续和历史状态
2. 管理员按测试数据修改访问级别
3. 无记录学生刷新并尝试开始
4. 进行中学生继续原测试
5. 已完成学生查看历史并尝试重测
6. 反向修改后再次刷新核对</t>
  </si>
  <si>
    <t>变更只控制后续新测试和重测；已有进行中可继续、历史可查看；会员改免费后普通学生可开始，免费改会员后无会员学生锁定。</t>
  </si>
  <si>
    <t>当前实现待对齐：年份锁定判断应只统计当前已上线且可新建的试卷。</t>
  </si>
  <si>
    <t>DIAG-ADMIN-004</t>
  </si>
  <si>
    <t>产生作答后结构修改被拒绝并通过新版本上线</t>
  </si>
  <si>
    <t>旧卷已有学生作答；管理员可创建新版本</t>
  </si>
  <si>
    <t>尝试修改考试类型、年份、时长、分段、题目和标题</t>
  </si>
  <si>
    <t>1. 管理员记录旧卷结构及关联中的学生测试
2. 尝试直接修改测试数据中的结构字段
3. 核对拒绝提示并创建结构调整后的新试卷版本
4. 将新版本上线并用新学生开始
5. 用旧学生继续测试并查看历史报告</t>
  </si>
  <si>
    <t>有作答后关键结构不能直接改；新版本可服务后续新测试；旧进行中和历史继续使用原冻结版本且不被覆盖。</t>
  </si>
  <si>
    <t>DIAG-ADMIN-005</t>
  </si>
  <si>
    <t>后台状态更新失败或异常状态不产生学生端假成功</t>
  </si>
  <si>
    <t>可模拟状态保存失败和提交四种正式状态之外的值</t>
  </si>
  <si>
    <t>草稿、审核中、已上线、已归档；异常状态unknown</t>
  </si>
  <si>
    <t>1. 管理员记录试卷当前有效状态
2. 模拟状态更新失败并观察管理端
3. 学生刷新并核对仍按原状态展示
4. 尝试提交异常状态值
5. 再用学生核对新建、继续和历史入口</t>
  </si>
  <si>
    <t>更新失败不提前显示成功，学生保持原有效状态；异常状态必须被拒绝；若存在历史异常数据，禁止新建但保留可确认的进行中和历史。</t>
  </si>
  <si>
    <t>当前实现待对齐：服务端需补充与管理端相同的状态白名单校验。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</si>
</sst>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1">
    <font>
      <sz val="11"/>
      <name val="Carlito"/>
      <charset val="134"/>
    </font>
    <font>
      <b/>
      <sz val="16"/>
      <color rgb="FFFFFFFF"/>
      <name val="Microsoft YaHei"/>
      <charset val="134"/>
    </font>
    <font>
      <sz val="10"/>
      <color rgb="FF385D8A"/>
      <name val="Microsoft YaHei"/>
      <charset val="134"/>
    </font>
    <font>
      <b/>
      <sz val="10"/>
      <color rgb="FFFFFFFF"/>
      <name val="Microsoft YaHei"/>
      <charset val="134"/>
    </font>
    <font>
      <sz val="9"/>
      <color rgb="FF243447"/>
      <name val="Microsoft YaHei"/>
      <charset val="134"/>
    </font>
    <font>
      <b/>
      <sz val="18"/>
      <color rgb="FFFFFFFF"/>
      <name val="Microsoft YaHei"/>
      <charset val="134"/>
    </font>
    <font>
      <sz val="10"/>
      <color rgb="FF243447"/>
      <name val="Microsoft YaHei"/>
      <charset val="134"/>
    </font>
    <font>
      <b/>
      <sz val="13"/>
      <color rgb="FFFFFFFF"/>
      <name val="Microsoft YaHei"/>
      <charset val="134"/>
    </font>
    <font>
      <b/>
      <sz val="11"/>
      <color rgb="FFFFFFFF"/>
      <name val="Microsoft YaHei"/>
      <charset val="134"/>
    </font>
    <font>
      <b/>
      <sz val="11"/>
      <color rgb="FF243447"/>
      <name val="Microsoft YaHei"/>
      <charset val="134"/>
    </font>
    <font>
      <b/>
      <sz val="11"/>
      <color rgb="FF17365D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9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0" borderId="5" applyNumberFormat="0" applyAlignment="0" applyProtection="0">
      <alignment vertical="center"/>
    </xf>
    <xf numFmtId="0" fontId="21" fillId="11" borderId="6" applyNumberFormat="0" applyAlignment="0" applyProtection="0">
      <alignment vertical="center"/>
    </xf>
    <xf numFmtId="0" fontId="22" fillId="11" borderId="5" applyNumberFormat="0" applyAlignment="0" applyProtection="0">
      <alignment vertical="center"/>
    </xf>
    <xf numFmtId="0" fontId="23" fillId="12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0" fillId="0" borderId="0"/>
  </cellStyleXfs>
  <cellXfs count="19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horizontal="center" vertical="top" wrapText="1"/>
    </xf>
    <xf numFmtId="0" fontId="4" fillId="5" borderId="1" xfId="49" applyNumberFormat="1" applyFont="1" applyFill="1" applyBorder="1" applyAlignment="1">
      <alignment vertical="top" wrapText="1"/>
    </xf>
    <xf numFmtId="0" fontId="4" fillId="6" borderId="1" xfId="49" applyNumberFormat="1" applyFont="1" applyFill="1" applyBorder="1" applyAlignment="1">
      <alignment horizontal="center" vertical="top" wrapText="1"/>
    </xf>
    <xf numFmtId="0" fontId="4" fillId="7" borderId="1" xfId="49" applyNumberFormat="1" applyFont="1" applyFill="1" applyBorder="1" applyAlignment="1">
      <alignment horizontal="center" vertical="top" wrapText="1"/>
    </xf>
    <xf numFmtId="0" fontId="4" fillId="7" borderId="1" xfId="49" applyNumberFormat="1" applyFont="1" applyFill="1" applyBorder="1" applyAlignment="1">
      <alignment vertical="top" wrapText="1"/>
    </xf>
    <xf numFmtId="0" fontId="5" fillId="2" borderId="0" xfId="49" applyNumberFormat="1" applyFont="1" applyFill="1" applyBorder="1" applyAlignment="1">
      <alignment vertical="center"/>
    </xf>
    <xf numFmtId="0" fontId="3" fillId="4" borderId="0" xfId="49" applyNumberFormat="1" applyFont="1" applyFill="1" applyBorder="1" applyAlignment="1">
      <alignment horizontal="center" vertical="center" wrapText="1"/>
    </xf>
    <xf numFmtId="0" fontId="6" fillId="8" borderId="0" xfId="49" applyNumberFormat="1" applyFont="1" applyFill="1" applyBorder="1" applyAlignment="1">
      <alignment vertical="center" wrapText="1"/>
    </xf>
    <xf numFmtId="176" fontId="6" fillId="8" borderId="0" xfId="49" applyNumberFormat="1" applyFont="1" applyFill="1" applyBorder="1" applyAlignment="1">
      <alignment vertical="center" wrapText="1"/>
    </xf>
    <xf numFmtId="0" fontId="7" fillId="2" borderId="0" xfId="49" applyNumberFormat="1" applyFont="1" applyFill="1" applyBorder="1"/>
    <xf numFmtId="0" fontId="8" fillId="4" borderId="1" xfId="49" applyNumberFormat="1" applyFont="1" applyFill="1" applyBorder="1" applyAlignment="1">
      <alignment horizontal="center"/>
    </xf>
    <xf numFmtId="0" fontId="6" fillId="0" borderId="1" xfId="49" applyNumberFormat="1" applyFont="1" applyFill="1" applyBorder="1" applyAlignment="1">
      <alignment horizontal="center"/>
    </xf>
    <xf numFmtId="0" fontId="9" fillId="3" borderId="1" xfId="49" applyNumberFormat="1" applyFont="1" applyFill="1" applyBorder="1" applyAlignment="1">
      <alignment horizontal="center"/>
    </xf>
    <xf numFmtId="0" fontId="10" fillId="3" borderId="1" xfId="49" applyNumberFormat="1" applyFont="1" applyFill="1" applyBorder="1" applyAlignment="1">
      <alignment vertical="center"/>
    </xf>
    <xf numFmtId="0" fontId="6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666666"/>
      </font>
      <fill>
        <patternFill patternType="solid">
          <bgColor rgb="FFE7E6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nualSummaryTable" displayName="ManualSummaryTable" ref="A9:I19" totalsRowShown="0">
  <tableColumns count="9">
    <tableColumn id="1" name="模块"/>
    <tableColumn id="2" name="用例数"/>
    <tableColumn id="3" name="P0"/>
    <tableColumn id="4" name="未执行"/>
    <tableColumn id="5" name="是否通过-是"/>
    <tableColumn id="6" name="是否通过-否"/>
    <tableColumn id="7" name="严重缺陷"/>
    <tableColumn id="8" name="已完成修复"/>
    <tableColumn id="9" name="回归通过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ManualCases01" displayName="ManualCases01" ref="A3:P7" totalsRowShown="0">
  <autoFilter xmlns:etc="http://www.wps.cn/officeDocument/2017/etCustomData" ref="A3:P7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ManualCases02" displayName="ManualCases02" ref="A3:P9" totalsRowShown="0">
  <autoFilter xmlns:etc="http://www.wps.cn/officeDocument/2017/etCustomData" ref="A3:P9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ManualCases03" displayName="ManualCases03" ref="A3:P7" totalsRowShown="0">
  <autoFilter xmlns:etc="http://www.wps.cn/officeDocument/2017/etCustomData" ref="A3:P7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ManualCases04" displayName="ManualCases04" ref="A3:P7" totalsRowShown="0">
  <autoFilter xmlns:etc="http://www.wps.cn/officeDocument/2017/etCustomData" ref="A3:P7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ManualCases05" displayName="ManualCases05" ref="A3:P7" totalsRowShown="0">
  <autoFilter xmlns:etc="http://www.wps.cn/officeDocument/2017/etCustomData" ref="A3:P7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ManualCases06" displayName="ManualCases06" ref="A3:P6" totalsRowShown="0">
  <autoFilter xmlns:etc="http://www.wps.cn/officeDocument/2017/etCustomData" ref="A3:P6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ManualCases07" displayName="ManualCases07" ref="A3:P7" totalsRowShown="0">
  <autoFilter xmlns:etc="http://www.wps.cn/officeDocument/2017/etCustomData" ref="A3:P7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ManualCases08" displayName="ManualCases08" ref="A3:P7" totalsRowShown="0">
  <autoFilter xmlns:etc="http://www.wps.cn/officeDocument/2017/etCustomData" ref="A3:P7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ManualCases09" displayName="ManualCases09" ref="A3:P8" totalsRowShown="0">
  <autoFilter xmlns:etc="http://www.wps.cn/officeDocument/2017/etCustomData" ref="A3:P8" etc:filterBottomFollowUsedRange="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showGridLines="0" workbookViewId="0">
      <selection activeCell="A1" sqref="A1:I1"/>
    </sheetView>
  </sheetViews>
  <sheetFormatPr defaultColWidth="9" defaultRowHeight="16.8"/>
  <cols>
    <col min="1" max="1" width="18" customWidth="1"/>
    <col min="2" max="2" width="26" customWidth="1"/>
    <col min="3" max="3" width="24" customWidth="1"/>
    <col min="4" max="4" width="18" customWidth="1"/>
    <col min="5" max="5" width="24" customWidth="1"/>
    <col min="6" max="7" width="18" customWidth="1"/>
    <col min="8" max="8" width="22" customWidth="1"/>
    <col min="9" max="9" width="18" customWidth="1"/>
  </cols>
  <sheetData>
    <row r="1" ht="38" customHeight="1" spans="1:9">
      <c r="A1" s="9" t="s">
        <v>0</v>
      </c>
      <c r="B1" s="9"/>
      <c r="C1" s="9"/>
      <c r="D1" s="9"/>
      <c r="E1" s="9"/>
      <c r="F1" s="9"/>
      <c r="G1" s="9"/>
      <c r="H1" s="9"/>
      <c r="I1" s="9"/>
    </row>
    <row r="2" ht="28" customHeight="1" spans="1:9">
      <c r="A2" s="2" t="s">
        <v>1</v>
      </c>
      <c r="B2" s="2"/>
      <c r="C2" s="2"/>
      <c r="D2" s="2"/>
      <c r="E2" s="2"/>
      <c r="F2" s="2"/>
      <c r="G2" s="2"/>
      <c r="H2" s="2"/>
      <c r="I2" s="2"/>
    </row>
    <row r="4" ht="30" customHeight="1" spans="1:9">
      <c r="A4" s="10" t="s">
        <v>2</v>
      </c>
      <c r="B4" s="11" t="s">
        <v>3</v>
      </c>
      <c r="C4" s="11"/>
      <c r="D4" s="10" t="s">
        <v>4</v>
      </c>
      <c r="E4" s="12">
        <v>46243</v>
      </c>
      <c r="F4" s="11"/>
      <c r="G4" s="10" t="s">
        <v>5</v>
      </c>
      <c r="H4" s="11">
        <f>SUM(B10:B18)</f>
        <v>38</v>
      </c>
      <c r="I4" s="11"/>
    </row>
    <row r="5" ht="38" customHeight="1" spans="1:9">
      <c r="A5" s="10" t="s">
        <v>6</v>
      </c>
      <c r="B5" s="11" t="s">
        <v>7</v>
      </c>
      <c r="C5" s="11"/>
      <c r="D5" s="11"/>
      <c r="E5" s="11"/>
      <c r="F5" s="11"/>
      <c r="G5" s="10" t="s">
        <v>8</v>
      </c>
      <c r="H5" s="11" t="s">
        <v>9</v>
      </c>
      <c r="I5" s="11"/>
    </row>
    <row r="6" ht="42" customHeight="1" spans="1:9">
      <c r="A6" s="10" t="s">
        <v>10</v>
      </c>
      <c r="B6" s="11" t="s">
        <v>11</v>
      </c>
      <c r="C6" s="11"/>
      <c r="D6" s="11"/>
      <c r="E6" s="11"/>
      <c r="F6" s="11"/>
      <c r="G6" s="11"/>
      <c r="H6" s="11"/>
      <c r="I6" s="11"/>
    </row>
    <row r="8" ht="19.2" spans="1:9">
      <c r="A8" s="13" t="s">
        <v>12</v>
      </c>
      <c r="B8" s="13"/>
      <c r="C8" s="13"/>
      <c r="D8" s="13"/>
      <c r="E8" s="13"/>
      <c r="F8" s="13"/>
      <c r="G8" s="13"/>
      <c r="H8" s="13"/>
      <c r="I8" s="13"/>
    </row>
    <row r="9" spans="1:9">
      <c r="A9" s="14" t="s">
        <v>13</v>
      </c>
      <c r="B9" s="14" t="s">
        <v>14</v>
      </c>
      <c r="C9" s="14" t="s">
        <v>15</v>
      </c>
      <c r="D9" s="14" t="s">
        <v>9</v>
      </c>
      <c r="E9" s="14" t="s">
        <v>16</v>
      </c>
      <c r="F9" s="14" t="s">
        <v>17</v>
      </c>
      <c r="G9" s="14" t="s">
        <v>18</v>
      </c>
      <c r="H9" s="14" t="s">
        <v>19</v>
      </c>
      <c r="I9" s="14" t="s">
        <v>20</v>
      </c>
    </row>
    <row r="10" spans="1:9">
      <c r="A10" s="15" t="s">
        <v>21</v>
      </c>
      <c r="B10" s="15">
        <f>COUNTA(入口与年份!$A$4:$A$7)</f>
        <v>4</v>
      </c>
      <c r="C10" s="15">
        <f>COUNTIF(入口与年份!$D$4:$D$7,"P0")</f>
        <v>4</v>
      </c>
      <c r="D10" s="15">
        <f>COUNTIF(入口与年份!$J$4:$J$7,"未执行")</f>
        <v>4</v>
      </c>
      <c r="E10" s="15">
        <f>COUNTIF(入口与年份!$K$4:$K$7,"是")</f>
        <v>2</v>
      </c>
      <c r="F10" s="15">
        <f>COUNTIF(入口与年份!$K$4:$K$7,"否")</f>
        <v>1</v>
      </c>
      <c r="G10" s="15">
        <f>COUNTIF(入口与年份!$L$4:$L$7,"阻断")+COUNTIF(入口与年份!$L$4:$L$7,"高")</f>
        <v>1</v>
      </c>
      <c r="H10" s="15">
        <f>COUNTIF(入口与年份!$O$4:$O$7,"已完成")</f>
        <v>0</v>
      </c>
      <c r="I10" s="15">
        <f>COUNTIF(入口与年份!$P$4:$P$7,"通过")</f>
        <v>0</v>
      </c>
    </row>
    <row r="11" spans="1:9">
      <c r="A11" s="15" t="s">
        <v>22</v>
      </c>
      <c r="B11" s="15">
        <f>COUNTA(选卷与资格!$A$4:$A$9)</f>
        <v>6</v>
      </c>
      <c r="C11" s="15">
        <f>COUNTIF(选卷与资格!$D$4:$D$9,"P0")</f>
        <v>6</v>
      </c>
      <c r="D11" s="15">
        <f>COUNTIF(选卷与资格!$J$4:$J$9,"未执行")</f>
        <v>6</v>
      </c>
      <c r="E11" s="15">
        <f>COUNTIF(选卷与资格!$K$4:$K$9,"是")</f>
        <v>4</v>
      </c>
      <c r="F11" s="15">
        <f>COUNTIF(选卷与资格!$K$4:$K$9,"否")</f>
        <v>2</v>
      </c>
      <c r="G11" s="15">
        <f>COUNTIF(选卷与资格!$L$4:$L$9,"阻断")+COUNTIF(选卷与资格!$L$4:$L$9,"高")</f>
        <v>2</v>
      </c>
      <c r="H11" s="15">
        <f>COUNTIF(选卷与资格!$O$4:$O$9,"已完成")</f>
        <v>0</v>
      </c>
      <c r="I11" s="15">
        <f>COUNTIF(选卷与资格!$P$4:$P$9,"通过")</f>
        <v>0</v>
      </c>
    </row>
    <row r="12" spans="1:9">
      <c r="A12" s="15" t="s">
        <v>23</v>
      </c>
      <c r="B12" s="15">
        <f>COUNTA(创建与重测!$A$4:$A$7)</f>
        <v>4</v>
      </c>
      <c r="C12" s="15">
        <f>COUNTIF(创建与重测!$D$4:$D$7,"P0")</f>
        <v>4</v>
      </c>
      <c r="D12" s="15">
        <f>COUNTIF(创建与重测!$J$4:$J$7,"未执行")</f>
        <v>4</v>
      </c>
      <c r="E12" s="15">
        <f>COUNTIF(创建与重测!$K$4:$K$7,"是")</f>
        <v>2</v>
      </c>
      <c r="F12" s="15">
        <f>COUNTIF(创建与重测!$K$4:$K$7,"否")</f>
        <v>0</v>
      </c>
      <c r="G12" s="15">
        <f>COUNTIF(创建与重测!$L$4:$L$7,"阻断")+COUNTIF(创建与重测!$L$4:$L$7,"高")</f>
        <v>0</v>
      </c>
      <c r="H12" s="15">
        <f>COUNTIF(创建与重测!$O$4:$O$7,"已完成")</f>
        <v>0</v>
      </c>
      <c r="I12" s="15">
        <f>COUNTIF(创建与重测!$P$4:$P$7,"通过")</f>
        <v>0</v>
      </c>
    </row>
    <row r="13" spans="1:9">
      <c r="A13" s="15" t="s">
        <v>24</v>
      </c>
      <c r="B13" s="15">
        <f>COUNTA(暂停与恢复!$A$4:$A$7)</f>
        <v>4</v>
      </c>
      <c r="C13" s="15">
        <f>COUNTIF(暂停与恢复!$D$4:$D$7,"P0")</f>
        <v>4</v>
      </c>
      <c r="D13" s="15">
        <f>COUNTIF(暂停与恢复!$J$4:$J$7,"未执行")</f>
        <v>4</v>
      </c>
      <c r="E13" s="15">
        <f>COUNTIF(暂停与恢复!$K$4:$K$7,"是")</f>
        <v>2</v>
      </c>
      <c r="F13" s="15">
        <f>COUNTIF(暂停与恢复!$K$4:$K$7,"否")</f>
        <v>0</v>
      </c>
      <c r="G13" s="15">
        <f>COUNTIF(暂停与恢复!$L$4:$L$7,"阻断")+COUNTIF(暂停与恢复!$L$4:$L$7,"高")</f>
        <v>0</v>
      </c>
      <c r="H13" s="15">
        <f>COUNTIF(暂停与恢复!$O$4:$O$7,"已完成")</f>
        <v>0</v>
      </c>
      <c r="I13" s="15">
        <f>COUNTIF(暂停与恢复!$P$4:$P$7,"通过")</f>
        <v>0</v>
      </c>
    </row>
    <row r="14" spans="1:9">
      <c r="A14" s="15" t="s">
        <v>25</v>
      </c>
      <c r="B14" s="15">
        <f>COUNTA(ESAT分段!$A$4:$A$7)</f>
        <v>4</v>
      </c>
      <c r="C14" s="15">
        <f>COUNTIF(ESAT分段!$D$4:$D$7,"P0")</f>
        <v>4</v>
      </c>
      <c r="D14" s="15">
        <f>COUNTIF(ESAT分段!$J$4:$J$7,"未执行")</f>
        <v>4</v>
      </c>
      <c r="E14" s="15">
        <f>COUNTIF(ESAT分段!$K$4:$K$7,"是")</f>
        <v>4</v>
      </c>
      <c r="F14" s="15">
        <f>COUNTIF(ESAT分段!$K$4:$K$7,"否")</f>
        <v>0</v>
      </c>
      <c r="G14" s="15">
        <f>COUNTIF(ESAT分段!$L$4:$L$7,"阻断")+COUNTIF(ESAT分段!$L$4:$L$7,"高")</f>
        <v>0</v>
      </c>
      <c r="H14" s="15">
        <f>COUNTIF(ESAT分段!$O$4:$O$7,"已完成")</f>
        <v>0</v>
      </c>
      <c r="I14" s="15">
        <f>COUNTIF(ESAT分段!$P$4:$P$7,"通过")</f>
        <v>0</v>
      </c>
    </row>
    <row r="15" spans="1:9">
      <c r="A15" s="15" t="s">
        <v>26</v>
      </c>
      <c r="B15" s="15">
        <f>COUNTA(TMUA分段!$A$4:$A$6)</f>
        <v>3</v>
      </c>
      <c r="C15" s="15">
        <f>COUNTIF(TMUA分段!$D$4:$D$6,"P0")</f>
        <v>3</v>
      </c>
      <c r="D15" s="15">
        <f>COUNTIF(TMUA分段!$J$4:$J$6,"未执行")</f>
        <v>3</v>
      </c>
      <c r="E15" s="15">
        <f>COUNTIF(TMUA分段!$K$4:$K$6,"是")</f>
        <v>3</v>
      </c>
      <c r="F15" s="15">
        <f>COUNTIF(TMUA分段!$K$4:$K$6,"否")</f>
        <v>0</v>
      </c>
      <c r="G15" s="15">
        <f>COUNTIF(TMUA分段!$L$4:$L$6,"阻断")+COUNTIF(TMUA分段!$L$4:$L$6,"高")</f>
        <v>0</v>
      </c>
      <c r="H15" s="15">
        <f>COUNTIF(TMUA分段!$O$4:$O$6,"已完成")</f>
        <v>0</v>
      </c>
      <c r="I15" s="15">
        <f>COUNTIF(TMUA分段!$P$4:$P$6,"通过")</f>
        <v>0</v>
      </c>
    </row>
    <row r="16" spans="1:9">
      <c r="A16" s="15" t="s">
        <v>27</v>
      </c>
      <c r="B16" s="15">
        <f>COUNTA(交卷与同步!$A$4:$A$7)</f>
        <v>4</v>
      </c>
      <c r="C16" s="15">
        <f>COUNTIF(交卷与同步!$D$4:$D$7,"P0")</f>
        <v>4</v>
      </c>
      <c r="D16" s="15">
        <f>COUNTIF(交卷与同步!$J$4:$J$7,"未执行")</f>
        <v>4</v>
      </c>
      <c r="E16" s="15">
        <f>COUNTIF(交卷与同步!$K$4:$K$7,"是")</f>
        <v>2</v>
      </c>
      <c r="F16" s="15">
        <f>COUNTIF(交卷与同步!$K$4:$K$7,"否")</f>
        <v>0</v>
      </c>
      <c r="G16" s="15">
        <f>COUNTIF(交卷与同步!$L$4:$L$7,"阻断")+COUNTIF(交卷与同步!$L$4:$L$7,"高")</f>
        <v>0</v>
      </c>
      <c r="H16" s="15">
        <f>COUNTIF(交卷与同步!$O$4:$O$7,"已完成")</f>
        <v>0</v>
      </c>
      <c r="I16" s="15">
        <f>COUNTIF(交卷与同步!$P$4:$P$7,"通过")</f>
        <v>0</v>
      </c>
    </row>
    <row r="17" spans="1:9">
      <c r="A17" s="15" t="s">
        <v>28</v>
      </c>
      <c r="B17" s="15">
        <f>COUNTA(报告与历史!$A$4:$A$7)</f>
        <v>4</v>
      </c>
      <c r="C17" s="15">
        <f>COUNTIF(报告与历史!$D$4:$D$7,"P0")</f>
        <v>4</v>
      </c>
      <c r="D17" s="15">
        <f>COUNTIF(报告与历史!$J$4:$J$7,"未执行")</f>
        <v>4</v>
      </c>
      <c r="E17" s="15">
        <f>COUNTIF(报告与历史!$K$4:$K$7,"是")</f>
        <v>2</v>
      </c>
      <c r="F17" s="15">
        <f>COUNTIF(报告与历史!$K$4:$K$7,"否")</f>
        <v>0</v>
      </c>
      <c r="G17" s="15">
        <f>COUNTIF(报告与历史!$L$4:$L$7,"阻断")+COUNTIF(报告与历史!$L$4:$L$7,"高")</f>
        <v>0</v>
      </c>
      <c r="H17" s="15">
        <f>COUNTIF(报告与历史!$O$4:$O$7,"已完成")</f>
        <v>0</v>
      </c>
      <c r="I17" s="15">
        <f>COUNTIF(报告与历史!$P$4:$P$7,"通过")</f>
        <v>0</v>
      </c>
    </row>
    <row r="18" spans="1:9">
      <c r="A18" s="15" t="s">
        <v>29</v>
      </c>
      <c r="B18" s="15">
        <f>COUNTA(后台联动!$A$4:$A$8)</f>
        <v>5</v>
      </c>
      <c r="C18" s="15">
        <f>COUNTIF(后台联动!$D$4:$D$8,"P0")</f>
        <v>5</v>
      </c>
      <c r="D18" s="15">
        <f>COUNTIF(后台联动!$J$4:$J$8,"未执行")</f>
        <v>5</v>
      </c>
      <c r="E18" s="15">
        <f>COUNTIF(后台联动!$K$4:$K$8,"是")</f>
        <v>0</v>
      </c>
      <c r="F18" s="15">
        <f>COUNTIF(后台联动!$K$4:$K$8,"否")</f>
        <v>0</v>
      </c>
      <c r="G18" s="15">
        <f>COUNTIF(后台联动!$L$4:$L$8,"阻断")+COUNTIF(后台联动!$L$4:$L$8,"高")</f>
        <v>0</v>
      </c>
      <c r="H18" s="15">
        <f>COUNTIF(后台联动!$O$4:$O$8,"已完成")</f>
        <v>0</v>
      </c>
      <c r="I18" s="15">
        <f>COUNTIF(后台联动!$P$4:$P$8,"通过")</f>
        <v>0</v>
      </c>
    </row>
    <row r="19" spans="1:9">
      <c r="A19" s="16" t="s">
        <v>30</v>
      </c>
      <c r="B19" s="16">
        <f t="shared" ref="B19:I19" si="0">SUM(B10:B18)</f>
        <v>38</v>
      </c>
      <c r="C19" s="16">
        <f t="shared" si="0"/>
        <v>38</v>
      </c>
      <c r="D19" s="16">
        <f t="shared" si="0"/>
        <v>38</v>
      </c>
      <c r="E19" s="16">
        <f t="shared" si="0"/>
        <v>21</v>
      </c>
      <c r="F19" s="16">
        <f t="shared" si="0"/>
        <v>3</v>
      </c>
      <c r="G19" s="16">
        <f t="shared" si="0"/>
        <v>3</v>
      </c>
      <c r="H19" s="16">
        <f t="shared" si="0"/>
        <v>0</v>
      </c>
      <c r="I19" s="16">
        <f t="shared" si="0"/>
        <v>0</v>
      </c>
    </row>
    <row r="22" ht="19.2" spans="1:9">
      <c r="A22" s="13" t="s">
        <v>31</v>
      </c>
      <c r="B22" s="13"/>
      <c r="C22" s="13"/>
      <c r="D22" s="13"/>
      <c r="E22" s="13"/>
      <c r="F22" s="13"/>
      <c r="G22" s="13"/>
      <c r="H22" s="13"/>
      <c r="I22" s="13"/>
    </row>
    <row r="23" ht="34" customHeight="1" spans="1:9">
      <c r="A23" s="17" t="s">
        <v>32</v>
      </c>
      <c r="B23" s="18" t="s">
        <v>33</v>
      </c>
      <c r="C23" s="18"/>
      <c r="D23" s="18"/>
      <c r="E23" s="18"/>
      <c r="F23" s="18"/>
      <c r="G23" s="18"/>
      <c r="H23" s="18"/>
      <c r="I23" s="18"/>
    </row>
    <row r="24" ht="34" customHeight="1" spans="1:9">
      <c r="A24" s="17" t="s">
        <v>34</v>
      </c>
      <c r="B24" s="18" t="s">
        <v>35</v>
      </c>
      <c r="C24" s="18"/>
      <c r="D24" s="18"/>
      <c r="E24" s="18"/>
      <c r="F24" s="18"/>
      <c r="G24" s="18"/>
      <c r="H24" s="18"/>
      <c r="I24" s="18"/>
    </row>
    <row r="25" ht="34" customHeight="1" spans="1:9">
      <c r="A25" s="17" t="s">
        <v>36</v>
      </c>
      <c r="B25" s="18" t="s">
        <v>37</v>
      </c>
      <c r="C25" s="18"/>
      <c r="D25" s="18"/>
      <c r="E25" s="18"/>
      <c r="F25" s="18"/>
      <c r="G25" s="18"/>
      <c r="H25" s="18"/>
      <c r="I25" s="18"/>
    </row>
    <row r="26" ht="34" customHeight="1" spans="1:9">
      <c r="A26" s="17" t="s">
        <v>38</v>
      </c>
      <c r="B26" s="18" t="s">
        <v>39</v>
      </c>
      <c r="C26" s="18"/>
      <c r="D26" s="18"/>
      <c r="E26" s="18"/>
      <c r="F26" s="18"/>
      <c r="G26" s="18"/>
      <c r="H26" s="18"/>
      <c r="I26" s="18"/>
    </row>
    <row r="27" ht="34" customHeight="1" spans="1:9">
      <c r="A27" s="17" t="s">
        <v>40</v>
      </c>
      <c r="B27" s="18" t="s">
        <v>41</v>
      </c>
      <c r="C27" s="18"/>
      <c r="D27" s="18"/>
      <c r="E27" s="18"/>
      <c r="F27" s="18"/>
      <c r="G27" s="18"/>
      <c r="H27" s="18"/>
      <c r="I27" s="18"/>
    </row>
  </sheetData>
  <mergeCells count="15">
    <mergeCell ref="A1:I1"/>
    <mergeCell ref="A2:I2"/>
    <mergeCell ref="B4:C4"/>
    <mergeCell ref="E4:F4"/>
    <mergeCell ref="H4:I4"/>
    <mergeCell ref="B5:F5"/>
    <mergeCell ref="H5:I5"/>
    <mergeCell ref="B6:I6"/>
    <mergeCell ref="A8:I8"/>
    <mergeCell ref="A22:I22"/>
    <mergeCell ref="B23:I23"/>
    <mergeCell ref="B24:I24"/>
    <mergeCell ref="B25:I25"/>
    <mergeCell ref="B26:I26"/>
    <mergeCell ref="B27:I27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showGridLines="0" workbookViewId="0">
      <selection activeCell="C7" sqref="C7"/>
    </sheetView>
  </sheetViews>
  <sheetFormatPr defaultColWidth="9" defaultRowHeight="16.8" outlineLevelRow="6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85" customHeight="1" spans="1:16">
      <c r="A4" s="4" t="s">
        <v>60</v>
      </c>
      <c r="B4" s="4" t="s">
        <v>21</v>
      </c>
      <c r="C4" s="4" t="s">
        <v>61</v>
      </c>
      <c r="D4" s="4" t="s">
        <v>15</v>
      </c>
      <c r="E4" s="4" t="s">
        <v>62</v>
      </c>
      <c r="F4" s="5" t="s">
        <v>63</v>
      </c>
      <c r="G4" s="5" t="s">
        <v>64</v>
      </c>
      <c r="H4" s="5" t="s">
        <v>65</v>
      </c>
      <c r="I4" s="5" t="s">
        <v>66</v>
      </c>
      <c r="J4" s="6" t="s">
        <v>9</v>
      </c>
      <c r="K4" s="6" t="s">
        <v>67</v>
      </c>
      <c r="L4" s="6"/>
      <c r="M4" s="6"/>
      <c r="N4" s="6"/>
      <c r="O4" s="6"/>
      <c r="P4" s="6"/>
    </row>
    <row r="5" ht="85" customHeight="1" spans="1:16">
      <c r="A5" s="7" t="s">
        <v>68</v>
      </c>
      <c r="B5" s="7" t="s">
        <v>21</v>
      </c>
      <c r="C5" s="7" t="s">
        <v>69</v>
      </c>
      <c r="D5" s="7" t="s">
        <v>15</v>
      </c>
      <c r="E5" s="7" t="s">
        <v>70</v>
      </c>
      <c r="F5" s="8" t="s">
        <v>71</v>
      </c>
      <c r="G5" s="8" t="s">
        <v>72</v>
      </c>
      <c r="H5" s="8" t="s">
        <v>73</v>
      </c>
      <c r="I5" s="8" t="s">
        <v>74</v>
      </c>
      <c r="J5" s="6" t="s">
        <v>9</v>
      </c>
      <c r="K5" s="6" t="s">
        <v>75</v>
      </c>
      <c r="L5" s="6" t="s">
        <v>76</v>
      </c>
      <c r="M5" s="6" t="s">
        <v>77</v>
      </c>
      <c r="N5" s="6"/>
      <c r="O5" s="6"/>
      <c r="P5" s="6"/>
    </row>
    <row r="6" ht="102" customHeight="1" spans="1:16">
      <c r="A6" s="4" t="s">
        <v>78</v>
      </c>
      <c r="B6" s="4" t="s">
        <v>21</v>
      </c>
      <c r="C6" s="4" t="s">
        <v>79</v>
      </c>
      <c r="D6" s="4" t="s">
        <v>15</v>
      </c>
      <c r="E6" s="4" t="s">
        <v>80</v>
      </c>
      <c r="F6" s="5" t="s">
        <v>81</v>
      </c>
      <c r="G6" s="5" t="s">
        <v>82</v>
      </c>
      <c r="H6" s="5" t="s">
        <v>83</v>
      </c>
      <c r="I6" s="5" t="s">
        <v>84</v>
      </c>
      <c r="J6" s="6" t="s">
        <v>9</v>
      </c>
      <c r="K6" s="6" t="s">
        <v>67</v>
      </c>
      <c r="L6" s="6"/>
      <c r="M6" s="6"/>
      <c r="N6" s="6"/>
      <c r="O6" s="6"/>
      <c r="P6" s="6"/>
    </row>
    <row r="7" ht="85" customHeight="1" spans="1:16">
      <c r="A7" s="7" t="s">
        <v>85</v>
      </c>
      <c r="B7" s="7" t="s">
        <v>21</v>
      </c>
      <c r="C7" s="7" t="s">
        <v>86</v>
      </c>
      <c r="D7" s="7" t="s">
        <v>15</v>
      </c>
      <c r="E7" s="7" t="s">
        <v>87</v>
      </c>
      <c r="F7" s="8" t="s">
        <v>88</v>
      </c>
      <c r="G7" s="8" t="s">
        <v>89</v>
      </c>
      <c r="H7" s="8" t="s">
        <v>90</v>
      </c>
      <c r="I7" s="8" t="s">
        <v>91</v>
      </c>
      <c r="J7" s="6" t="s">
        <v>9</v>
      </c>
      <c r="K7" s="6"/>
      <c r="L7" s="6"/>
      <c r="M7" s="6"/>
      <c r="N7" s="6" t="s">
        <v>92</v>
      </c>
      <c r="O7" s="6"/>
      <c r="P7" s="6"/>
    </row>
  </sheetData>
  <mergeCells count="2">
    <mergeCell ref="A1:P1"/>
    <mergeCell ref="A2:P2"/>
  </mergeCells>
  <conditionalFormatting sqref="D4:D7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7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7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7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7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7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7">
      <formula1>"P0,P1,P2,P3"</formula1>
    </dataValidation>
    <dataValidation type="list" sqref="E4:E7">
      <formula1>"功能,流程,校验,权限,安全,异常"</formula1>
    </dataValidation>
    <dataValidation type="list" sqref="J4:J7">
      <formula1>"未执行,通过,失败,阻塞,不适用"</formula1>
    </dataValidation>
    <dataValidation type="list" sqref="K4:K7">
      <formula1>"是,否"</formula1>
    </dataValidation>
    <dataValidation type="list" sqref="L4:L7">
      <formula1>"阻断,高,中,低,轻微"</formula1>
    </dataValidation>
    <dataValidation type="list" sqref="O4:O7">
      <formula1>"已完成,待确认,暂不修复"</formula1>
    </dataValidation>
    <dataValidation type="list" sqref="P4:P7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"/>
  <sheetViews>
    <sheetView showGridLines="0" topLeftCell="C1" workbookViewId="0">
      <selection activeCell="K9" sqref="K9"/>
    </sheetView>
  </sheetViews>
  <sheetFormatPr defaultColWidth="9" defaultRowHeight="16.8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102" customHeight="1" spans="1:16">
      <c r="A4" s="4" t="s">
        <v>95</v>
      </c>
      <c r="B4" s="4" t="s">
        <v>22</v>
      </c>
      <c r="C4" s="4" t="s">
        <v>96</v>
      </c>
      <c r="D4" s="4" t="s">
        <v>15</v>
      </c>
      <c r="E4" s="4" t="s">
        <v>62</v>
      </c>
      <c r="F4" s="5" t="s">
        <v>97</v>
      </c>
      <c r="G4" s="5" t="s">
        <v>98</v>
      </c>
      <c r="H4" s="5" t="s">
        <v>99</v>
      </c>
      <c r="I4" s="5" t="s">
        <v>100</v>
      </c>
      <c r="J4" s="6" t="s">
        <v>9</v>
      </c>
      <c r="K4" s="6" t="s">
        <v>67</v>
      </c>
      <c r="L4" s="6"/>
      <c r="M4" s="6"/>
      <c r="N4" s="6"/>
      <c r="O4" s="6"/>
      <c r="P4" s="6"/>
    </row>
    <row r="5" ht="85" customHeight="1" spans="1:16">
      <c r="A5" s="7" t="s">
        <v>101</v>
      </c>
      <c r="B5" s="7" t="s">
        <v>22</v>
      </c>
      <c r="C5" s="7" t="s">
        <v>102</v>
      </c>
      <c r="D5" s="7" t="s">
        <v>15</v>
      </c>
      <c r="E5" s="7" t="s">
        <v>87</v>
      </c>
      <c r="F5" s="8" t="s">
        <v>103</v>
      </c>
      <c r="G5" s="8" t="s">
        <v>104</v>
      </c>
      <c r="H5" s="8" t="s">
        <v>105</v>
      </c>
      <c r="I5" s="8" t="s">
        <v>106</v>
      </c>
      <c r="J5" s="6" t="s">
        <v>9</v>
      </c>
      <c r="K5" s="6" t="s">
        <v>67</v>
      </c>
      <c r="L5" s="6"/>
      <c r="M5" s="6"/>
      <c r="N5" s="6"/>
      <c r="O5" s="6"/>
      <c r="P5" s="6"/>
    </row>
    <row r="6" ht="85" customHeight="1" spans="1:16">
      <c r="A6" s="4" t="s">
        <v>107</v>
      </c>
      <c r="B6" s="4" t="s">
        <v>22</v>
      </c>
      <c r="C6" s="4" t="s">
        <v>108</v>
      </c>
      <c r="D6" s="4" t="s">
        <v>15</v>
      </c>
      <c r="E6" s="4" t="s">
        <v>80</v>
      </c>
      <c r="F6" s="5" t="s">
        <v>109</v>
      </c>
      <c r="G6" s="5" t="s">
        <v>110</v>
      </c>
      <c r="H6" s="5" t="s">
        <v>111</v>
      </c>
      <c r="I6" s="5" t="s">
        <v>112</v>
      </c>
      <c r="J6" s="6" t="s">
        <v>9</v>
      </c>
      <c r="K6" s="6" t="s">
        <v>67</v>
      </c>
      <c r="L6" s="6"/>
      <c r="M6" s="6"/>
      <c r="N6" s="6"/>
      <c r="O6" s="6"/>
      <c r="P6" s="6"/>
    </row>
    <row r="7" ht="85" customHeight="1" spans="1:16">
      <c r="A7" s="7" t="s">
        <v>113</v>
      </c>
      <c r="B7" s="7" t="s">
        <v>22</v>
      </c>
      <c r="C7" s="7" t="s">
        <v>114</v>
      </c>
      <c r="D7" s="7" t="s">
        <v>15</v>
      </c>
      <c r="E7" s="7" t="s">
        <v>62</v>
      </c>
      <c r="F7" s="8" t="s">
        <v>115</v>
      </c>
      <c r="G7" s="8" t="s">
        <v>116</v>
      </c>
      <c r="H7" s="8" t="s">
        <v>117</v>
      </c>
      <c r="I7" s="8" t="s">
        <v>118</v>
      </c>
      <c r="J7" s="6" t="s">
        <v>9</v>
      </c>
      <c r="K7" s="6" t="s">
        <v>75</v>
      </c>
      <c r="L7" s="6" t="s">
        <v>76</v>
      </c>
      <c r="M7" s="6" t="s">
        <v>119</v>
      </c>
      <c r="N7" s="6"/>
      <c r="O7" s="6"/>
      <c r="P7" s="6"/>
    </row>
    <row r="8" ht="85" customHeight="1" spans="1:16">
      <c r="A8" s="4" t="s">
        <v>120</v>
      </c>
      <c r="B8" s="4" t="s">
        <v>22</v>
      </c>
      <c r="C8" s="4" t="s">
        <v>121</v>
      </c>
      <c r="D8" s="4" t="s">
        <v>15</v>
      </c>
      <c r="E8" s="4" t="s">
        <v>122</v>
      </c>
      <c r="F8" s="5" t="s">
        <v>123</v>
      </c>
      <c r="G8" s="5" t="s">
        <v>124</v>
      </c>
      <c r="H8" s="5" t="s">
        <v>125</v>
      </c>
      <c r="I8" s="5" t="s">
        <v>126</v>
      </c>
      <c r="J8" s="6" t="s">
        <v>9</v>
      </c>
      <c r="K8" s="6" t="s">
        <v>75</v>
      </c>
      <c r="L8" s="6" t="s">
        <v>76</v>
      </c>
      <c r="M8" s="6" t="s">
        <v>119</v>
      </c>
      <c r="N8" s="6"/>
      <c r="O8" s="6"/>
      <c r="P8" s="6"/>
    </row>
    <row r="9" ht="85" customHeight="1" spans="1:16">
      <c r="A9" s="7" t="s">
        <v>127</v>
      </c>
      <c r="B9" s="7" t="s">
        <v>22</v>
      </c>
      <c r="C9" s="7" t="s">
        <v>128</v>
      </c>
      <c r="D9" s="7" t="s">
        <v>15</v>
      </c>
      <c r="E9" s="7" t="s">
        <v>62</v>
      </c>
      <c r="F9" s="8" t="s">
        <v>129</v>
      </c>
      <c r="G9" s="8" t="s">
        <v>130</v>
      </c>
      <c r="H9" s="8" t="s">
        <v>131</v>
      </c>
      <c r="I9" s="8" t="s">
        <v>132</v>
      </c>
      <c r="J9" s="6" t="s">
        <v>9</v>
      </c>
      <c r="K9" s="6" t="s">
        <v>67</v>
      </c>
      <c r="L9" s="6"/>
      <c r="M9" s="6"/>
      <c r="N9" s="6"/>
      <c r="O9" s="6"/>
      <c r="P9" s="6"/>
    </row>
  </sheetData>
  <mergeCells count="2">
    <mergeCell ref="A1:P1"/>
    <mergeCell ref="A2:P2"/>
  </mergeCells>
  <conditionalFormatting sqref="D4:D9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9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9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9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9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9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9">
      <formula1>"P0,P1,P2,P3"</formula1>
    </dataValidation>
    <dataValidation type="list" sqref="E4:E9">
      <formula1>"功能,流程,校验,权限,安全,异常"</formula1>
    </dataValidation>
    <dataValidation type="list" sqref="J4:J9">
      <formula1>"未执行,通过,失败,阻塞,不适用"</formula1>
    </dataValidation>
    <dataValidation type="list" sqref="K4:K9">
      <formula1>"是,否"</formula1>
    </dataValidation>
    <dataValidation type="list" sqref="L4:L9">
      <formula1>"阻断,高,中,低,轻微"</formula1>
    </dataValidation>
    <dataValidation type="list" sqref="O4:O9">
      <formula1>"已完成,待确认,暂不修复"</formula1>
    </dataValidation>
    <dataValidation type="list" sqref="P4:P9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showGridLines="0" topLeftCell="B1" workbookViewId="0">
      <selection activeCell="B7" sqref="$A7:$XFD7"/>
    </sheetView>
  </sheetViews>
  <sheetFormatPr defaultColWidth="9" defaultRowHeight="16.8" outlineLevelRow="6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133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134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119" customHeight="1" spans="1:16">
      <c r="A4" s="4" t="s">
        <v>135</v>
      </c>
      <c r="B4" s="4" t="s">
        <v>23</v>
      </c>
      <c r="C4" s="4" t="s">
        <v>136</v>
      </c>
      <c r="D4" s="4" t="s">
        <v>15</v>
      </c>
      <c r="E4" s="4" t="s">
        <v>62</v>
      </c>
      <c r="F4" s="5" t="s">
        <v>137</v>
      </c>
      <c r="G4" s="5" t="s">
        <v>138</v>
      </c>
      <c r="H4" s="5" t="s">
        <v>139</v>
      </c>
      <c r="I4" s="5" t="s">
        <v>140</v>
      </c>
      <c r="J4" s="6" t="s">
        <v>9</v>
      </c>
      <c r="K4" s="6" t="s">
        <v>67</v>
      </c>
      <c r="L4" s="6"/>
      <c r="M4" s="6"/>
      <c r="N4" s="6"/>
      <c r="O4" s="6"/>
      <c r="P4" s="6"/>
    </row>
    <row r="5" ht="102" customHeight="1" spans="1:16">
      <c r="A5" s="7" t="s">
        <v>141</v>
      </c>
      <c r="B5" s="7" t="s">
        <v>23</v>
      </c>
      <c r="C5" s="7" t="s">
        <v>142</v>
      </c>
      <c r="D5" s="7" t="s">
        <v>15</v>
      </c>
      <c r="E5" s="7" t="s">
        <v>62</v>
      </c>
      <c r="F5" s="8" t="s">
        <v>143</v>
      </c>
      <c r="G5" s="8" t="s">
        <v>144</v>
      </c>
      <c r="H5" s="8" t="s">
        <v>145</v>
      </c>
      <c r="I5" s="8" t="s">
        <v>146</v>
      </c>
      <c r="J5" s="6" t="s">
        <v>9</v>
      </c>
      <c r="K5" s="6" t="s">
        <v>67</v>
      </c>
      <c r="L5" s="6"/>
      <c r="M5" s="6"/>
      <c r="N5" s="6"/>
      <c r="O5" s="6"/>
      <c r="P5" s="6"/>
    </row>
    <row r="6" ht="85" customHeight="1" spans="1:16">
      <c r="A6" s="4" t="s">
        <v>147</v>
      </c>
      <c r="B6" s="4" t="s">
        <v>23</v>
      </c>
      <c r="C6" s="4" t="s">
        <v>148</v>
      </c>
      <c r="D6" s="4" t="s">
        <v>15</v>
      </c>
      <c r="E6" s="4" t="s">
        <v>87</v>
      </c>
      <c r="F6" s="5" t="s">
        <v>149</v>
      </c>
      <c r="G6" s="5" t="s">
        <v>150</v>
      </c>
      <c r="H6" s="5" t="s">
        <v>151</v>
      </c>
      <c r="I6" s="5" t="s">
        <v>152</v>
      </c>
      <c r="J6" s="6" t="s">
        <v>9</v>
      </c>
      <c r="K6" s="6"/>
      <c r="L6" s="6"/>
      <c r="M6" s="6"/>
      <c r="N6" s="6"/>
      <c r="O6" s="6"/>
      <c r="P6" s="6"/>
    </row>
    <row r="7" ht="85" customHeight="1" spans="1:16">
      <c r="A7" s="7" t="s">
        <v>153</v>
      </c>
      <c r="B7" s="7" t="s">
        <v>23</v>
      </c>
      <c r="C7" s="7" t="s">
        <v>154</v>
      </c>
      <c r="D7" s="7" t="s">
        <v>15</v>
      </c>
      <c r="E7" s="7" t="s">
        <v>87</v>
      </c>
      <c r="F7" s="8" t="s">
        <v>155</v>
      </c>
      <c r="G7" s="8" t="s">
        <v>156</v>
      </c>
      <c r="H7" s="8" t="s">
        <v>157</v>
      </c>
      <c r="I7" s="8" t="s">
        <v>158</v>
      </c>
      <c r="J7" s="6" t="s">
        <v>9</v>
      </c>
      <c r="K7" s="6"/>
      <c r="L7" s="6"/>
      <c r="M7" s="6"/>
      <c r="N7" s="6"/>
      <c r="O7" s="6"/>
      <c r="P7" s="6"/>
    </row>
  </sheetData>
  <mergeCells count="2">
    <mergeCell ref="A1:P1"/>
    <mergeCell ref="A2:P2"/>
  </mergeCells>
  <conditionalFormatting sqref="D4:D7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7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7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7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7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7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7">
      <formula1>"P0,P1,P2,P3"</formula1>
    </dataValidation>
    <dataValidation type="list" sqref="E4:E7">
      <formula1>"功能,流程,校验,权限,安全,异常"</formula1>
    </dataValidation>
    <dataValidation type="list" sqref="J4:J7">
      <formula1>"未执行,通过,失败,阻塞,不适用"</formula1>
    </dataValidation>
    <dataValidation type="list" sqref="K4:K7">
      <formula1>"是,否"</formula1>
    </dataValidation>
    <dataValidation type="list" sqref="L4:L7">
      <formula1>"阻断,高,中,低,轻微"</formula1>
    </dataValidation>
    <dataValidation type="list" sqref="O4:O7">
      <formula1>"已完成,待确认,暂不修复"</formula1>
    </dataValidation>
    <dataValidation type="list" sqref="P4:P7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showGridLines="0" topLeftCell="C1" workbookViewId="0">
      <selection activeCell="F7" sqref="F7"/>
    </sheetView>
  </sheetViews>
  <sheetFormatPr defaultColWidth="9" defaultRowHeight="16.8" outlineLevelRow="6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159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160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102" customHeight="1" spans="1:16">
      <c r="A4" s="4" t="s">
        <v>161</v>
      </c>
      <c r="B4" s="4" t="s">
        <v>24</v>
      </c>
      <c r="C4" s="4" t="s">
        <v>162</v>
      </c>
      <c r="D4" s="4" t="s">
        <v>15</v>
      </c>
      <c r="E4" s="4" t="s">
        <v>62</v>
      </c>
      <c r="F4" s="5" t="s">
        <v>163</v>
      </c>
      <c r="G4" s="5" t="s">
        <v>164</v>
      </c>
      <c r="H4" s="5" t="s">
        <v>165</v>
      </c>
      <c r="I4" s="5" t="s">
        <v>166</v>
      </c>
      <c r="J4" s="6" t="s">
        <v>9</v>
      </c>
      <c r="K4" s="6" t="s">
        <v>67</v>
      </c>
      <c r="L4" s="6"/>
      <c r="M4" s="6"/>
      <c r="N4" s="6"/>
      <c r="O4" s="6"/>
      <c r="P4" s="6"/>
    </row>
    <row r="5" ht="85" customHeight="1" spans="1:16">
      <c r="A5" s="7" t="s">
        <v>167</v>
      </c>
      <c r="B5" s="7" t="s">
        <v>24</v>
      </c>
      <c r="C5" s="7" t="s">
        <v>168</v>
      </c>
      <c r="D5" s="7" t="s">
        <v>15</v>
      </c>
      <c r="E5" s="7" t="s">
        <v>62</v>
      </c>
      <c r="F5" s="8" t="s">
        <v>169</v>
      </c>
      <c r="G5" s="8" t="s">
        <v>170</v>
      </c>
      <c r="H5" s="8" t="s">
        <v>171</v>
      </c>
      <c r="I5" s="8" t="s">
        <v>172</v>
      </c>
      <c r="J5" s="6" t="s">
        <v>9</v>
      </c>
      <c r="K5" s="6" t="s">
        <v>67</v>
      </c>
      <c r="L5" s="6"/>
      <c r="M5" s="6"/>
      <c r="N5" s="6"/>
      <c r="O5" s="6"/>
      <c r="P5" s="6"/>
    </row>
    <row r="6" ht="85" customHeight="1" spans="1:16">
      <c r="A6" s="4" t="s">
        <v>173</v>
      </c>
      <c r="B6" s="4" t="s">
        <v>24</v>
      </c>
      <c r="C6" s="4" t="s">
        <v>174</v>
      </c>
      <c r="D6" s="4" t="s">
        <v>15</v>
      </c>
      <c r="E6" s="4" t="s">
        <v>87</v>
      </c>
      <c r="F6" s="5" t="s">
        <v>175</v>
      </c>
      <c r="G6" s="5" t="s">
        <v>176</v>
      </c>
      <c r="H6" s="5" t="s">
        <v>177</v>
      </c>
      <c r="I6" s="5" t="s">
        <v>178</v>
      </c>
      <c r="J6" s="6" t="s">
        <v>9</v>
      </c>
      <c r="K6" s="6"/>
      <c r="L6" s="6"/>
      <c r="M6" s="6" t="s">
        <v>179</v>
      </c>
      <c r="N6" s="6"/>
      <c r="O6" s="6"/>
      <c r="P6" s="6"/>
    </row>
    <row r="7" ht="85" customHeight="1" spans="1:16">
      <c r="A7" s="7" t="s">
        <v>180</v>
      </c>
      <c r="B7" s="7" t="s">
        <v>24</v>
      </c>
      <c r="C7" s="7" t="s">
        <v>181</v>
      </c>
      <c r="D7" s="7" t="s">
        <v>15</v>
      </c>
      <c r="E7" s="7" t="s">
        <v>87</v>
      </c>
      <c r="F7" s="8" t="s">
        <v>182</v>
      </c>
      <c r="G7" s="8" t="s">
        <v>183</v>
      </c>
      <c r="H7" s="8" t="s">
        <v>184</v>
      </c>
      <c r="I7" s="8" t="s">
        <v>185</v>
      </c>
      <c r="J7" s="6" t="s">
        <v>9</v>
      </c>
      <c r="K7" s="6"/>
      <c r="L7" s="6"/>
      <c r="M7" s="6"/>
      <c r="N7" s="6"/>
      <c r="O7" s="6"/>
      <c r="P7" s="6"/>
    </row>
  </sheetData>
  <mergeCells count="2">
    <mergeCell ref="A1:P1"/>
    <mergeCell ref="A2:P2"/>
  </mergeCells>
  <conditionalFormatting sqref="D4:D7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7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7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7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7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7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7">
      <formula1>"P0,P1,P2,P3"</formula1>
    </dataValidation>
    <dataValidation type="list" sqref="E4:E7">
      <formula1>"功能,流程,校验,权限,安全,异常"</formula1>
    </dataValidation>
    <dataValidation type="list" sqref="J4:J7">
      <formula1>"未执行,通过,失败,阻塞,不适用"</formula1>
    </dataValidation>
    <dataValidation type="list" sqref="K4:K7">
      <formula1>"是,否"</formula1>
    </dataValidation>
    <dataValidation type="list" sqref="L4:L7">
      <formula1>"阻断,高,中,低,轻微"</formula1>
    </dataValidation>
    <dataValidation type="list" sqref="O4:O7">
      <formula1>"已完成,待确认,暂不修复"</formula1>
    </dataValidation>
    <dataValidation type="list" sqref="P4:P7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showGridLines="0" topLeftCell="C1" workbookViewId="0">
      <selection activeCell="K7" sqref="K7"/>
    </sheetView>
  </sheetViews>
  <sheetFormatPr defaultColWidth="9" defaultRowHeight="16.8" outlineLevelRow="6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186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187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102" customHeight="1" spans="1:16">
      <c r="A4" s="4" t="s">
        <v>188</v>
      </c>
      <c r="B4" s="4" t="s">
        <v>25</v>
      </c>
      <c r="C4" s="4" t="s">
        <v>189</v>
      </c>
      <c r="D4" s="4" t="s">
        <v>15</v>
      </c>
      <c r="E4" s="4" t="s">
        <v>62</v>
      </c>
      <c r="F4" s="5" t="s">
        <v>190</v>
      </c>
      <c r="G4" s="5" t="s">
        <v>191</v>
      </c>
      <c r="H4" s="5" t="s">
        <v>192</v>
      </c>
      <c r="I4" s="5" t="s">
        <v>193</v>
      </c>
      <c r="J4" s="6" t="s">
        <v>9</v>
      </c>
      <c r="K4" s="6" t="s">
        <v>67</v>
      </c>
      <c r="L4" s="6"/>
      <c r="M4" s="6"/>
      <c r="N4" s="6"/>
      <c r="O4" s="6"/>
      <c r="P4" s="6"/>
    </row>
    <row r="5" ht="85" customHeight="1" spans="1:16">
      <c r="A5" s="7" t="s">
        <v>194</v>
      </c>
      <c r="B5" s="7" t="s">
        <v>25</v>
      </c>
      <c r="C5" s="7" t="s">
        <v>195</v>
      </c>
      <c r="D5" s="7" t="s">
        <v>15</v>
      </c>
      <c r="E5" s="7" t="s">
        <v>87</v>
      </c>
      <c r="F5" s="8" t="s">
        <v>196</v>
      </c>
      <c r="G5" s="8" t="s">
        <v>197</v>
      </c>
      <c r="H5" s="8" t="s">
        <v>198</v>
      </c>
      <c r="I5" s="8" t="s">
        <v>199</v>
      </c>
      <c r="J5" s="6" t="s">
        <v>9</v>
      </c>
      <c r="K5" s="6" t="s">
        <v>67</v>
      </c>
      <c r="L5" s="6"/>
      <c r="M5" s="6"/>
      <c r="N5" s="6"/>
      <c r="O5" s="6"/>
      <c r="P5" s="6"/>
    </row>
    <row r="6" ht="102" customHeight="1" spans="1:16">
      <c r="A6" s="4" t="s">
        <v>200</v>
      </c>
      <c r="B6" s="4" t="s">
        <v>25</v>
      </c>
      <c r="C6" s="4" t="s">
        <v>201</v>
      </c>
      <c r="D6" s="4" t="s">
        <v>15</v>
      </c>
      <c r="E6" s="4" t="s">
        <v>62</v>
      </c>
      <c r="F6" s="5" t="s">
        <v>202</v>
      </c>
      <c r="G6" s="5" t="s">
        <v>203</v>
      </c>
      <c r="H6" s="5" t="s">
        <v>204</v>
      </c>
      <c r="I6" s="5" t="s">
        <v>205</v>
      </c>
      <c r="J6" s="6" t="s">
        <v>9</v>
      </c>
      <c r="K6" s="6" t="s">
        <v>67</v>
      </c>
      <c r="L6" s="6"/>
      <c r="M6" s="6"/>
      <c r="N6" s="6"/>
      <c r="O6" s="6"/>
      <c r="P6" s="6"/>
    </row>
    <row r="7" ht="85" customHeight="1" spans="1:16">
      <c r="A7" s="7" t="s">
        <v>206</v>
      </c>
      <c r="B7" s="7" t="s">
        <v>25</v>
      </c>
      <c r="C7" s="7" t="s">
        <v>207</v>
      </c>
      <c r="D7" s="7" t="s">
        <v>15</v>
      </c>
      <c r="E7" s="7" t="s">
        <v>122</v>
      </c>
      <c r="F7" s="8" t="s">
        <v>208</v>
      </c>
      <c r="G7" s="8" t="s">
        <v>209</v>
      </c>
      <c r="H7" s="8" t="s">
        <v>210</v>
      </c>
      <c r="I7" s="8" t="s">
        <v>211</v>
      </c>
      <c r="J7" s="6" t="s">
        <v>9</v>
      </c>
      <c r="K7" s="6" t="s">
        <v>67</v>
      </c>
      <c r="L7" s="6"/>
      <c r="M7" s="6"/>
      <c r="N7" s="6"/>
      <c r="O7" s="6"/>
      <c r="P7" s="6"/>
    </row>
  </sheetData>
  <mergeCells count="2">
    <mergeCell ref="A1:P1"/>
    <mergeCell ref="A2:P2"/>
  </mergeCells>
  <conditionalFormatting sqref="D4:D7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7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7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7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7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7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7">
      <formula1>"P0,P1,P2,P3"</formula1>
    </dataValidation>
    <dataValidation type="list" sqref="E4:E7">
      <formula1>"功能,流程,校验,权限,安全,异常"</formula1>
    </dataValidation>
    <dataValidation type="list" sqref="J4:J7">
      <formula1>"未执行,通过,失败,阻塞,不适用"</formula1>
    </dataValidation>
    <dataValidation type="list" sqref="K4:K7">
      <formula1>"是,否"</formula1>
    </dataValidation>
    <dataValidation type="list" sqref="L4:L7">
      <formula1>"阻断,高,中,低,轻微"</formula1>
    </dataValidation>
    <dataValidation type="list" sqref="O4:O7">
      <formula1>"已完成,待确认,暂不修复"</formula1>
    </dataValidation>
    <dataValidation type="list" sqref="P4:P7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"/>
  <sheetViews>
    <sheetView showGridLines="0" topLeftCell="C1" workbookViewId="0">
      <selection activeCell="K6" sqref="K6"/>
    </sheetView>
  </sheetViews>
  <sheetFormatPr defaultColWidth="9" defaultRowHeight="16.8" outlineLevelRow="5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212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213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102" customHeight="1" spans="1:16">
      <c r="A4" s="4" t="s">
        <v>214</v>
      </c>
      <c r="B4" s="4" t="s">
        <v>26</v>
      </c>
      <c r="C4" s="4" t="s">
        <v>215</v>
      </c>
      <c r="D4" s="4" t="s">
        <v>15</v>
      </c>
      <c r="E4" s="4" t="s">
        <v>62</v>
      </c>
      <c r="F4" s="5" t="s">
        <v>216</v>
      </c>
      <c r="G4" s="5" t="s">
        <v>217</v>
      </c>
      <c r="H4" s="5" t="s">
        <v>218</v>
      </c>
      <c r="I4" s="5" t="s">
        <v>219</v>
      </c>
      <c r="J4" s="6" t="s">
        <v>9</v>
      </c>
      <c r="K4" s="6" t="s">
        <v>67</v>
      </c>
      <c r="L4" s="6"/>
      <c r="M4" s="6"/>
      <c r="N4" s="6"/>
      <c r="O4" s="6"/>
      <c r="P4" s="6"/>
    </row>
    <row r="5" ht="85" customHeight="1" spans="1:16">
      <c r="A5" s="7" t="s">
        <v>220</v>
      </c>
      <c r="B5" s="7" t="s">
        <v>26</v>
      </c>
      <c r="C5" s="7" t="s">
        <v>221</v>
      </c>
      <c r="D5" s="7" t="s">
        <v>15</v>
      </c>
      <c r="E5" s="7" t="s">
        <v>87</v>
      </c>
      <c r="F5" s="8" t="s">
        <v>222</v>
      </c>
      <c r="G5" s="8" t="s">
        <v>223</v>
      </c>
      <c r="H5" s="8" t="s">
        <v>224</v>
      </c>
      <c r="I5" s="8" t="s">
        <v>225</v>
      </c>
      <c r="J5" s="6" t="s">
        <v>9</v>
      </c>
      <c r="K5" s="6" t="s">
        <v>67</v>
      </c>
      <c r="L5" s="6"/>
      <c r="M5" s="6"/>
      <c r="N5" s="6"/>
      <c r="O5" s="6"/>
      <c r="P5" s="6"/>
    </row>
    <row r="6" ht="85" customHeight="1" spans="1:16">
      <c r="A6" s="4" t="s">
        <v>226</v>
      </c>
      <c r="B6" s="4" t="s">
        <v>26</v>
      </c>
      <c r="C6" s="4" t="s">
        <v>227</v>
      </c>
      <c r="D6" s="4" t="s">
        <v>15</v>
      </c>
      <c r="E6" s="4" t="s">
        <v>122</v>
      </c>
      <c r="F6" s="5" t="s">
        <v>228</v>
      </c>
      <c r="G6" s="5" t="s">
        <v>229</v>
      </c>
      <c r="H6" s="5" t="s">
        <v>230</v>
      </c>
      <c r="I6" s="5" t="s">
        <v>231</v>
      </c>
      <c r="J6" s="6" t="s">
        <v>9</v>
      </c>
      <c r="K6" s="6" t="s">
        <v>67</v>
      </c>
      <c r="L6" s="6"/>
      <c r="M6" s="6"/>
      <c r="N6" s="6"/>
      <c r="O6" s="6"/>
      <c r="P6" s="6"/>
    </row>
  </sheetData>
  <mergeCells count="2">
    <mergeCell ref="A1:P1"/>
    <mergeCell ref="A2:P2"/>
  </mergeCells>
  <conditionalFormatting sqref="D4:D6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6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6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6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6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6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6">
      <formula1>"P0,P1,P2,P3"</formula1>
    </dataValidation>
    <dataValidation type="list" sqref="E4:E6">
      <formula1>"功能,流程,校验,权限,安全,异常"</formula1>
    </dataValidation>
    <dataValidation type="list" sqref="J4:J6">
      <formula1>"未执行,通过,失败,阻塞,不适用"</formula1>
    </dataValidation>
    <dataValidation type="list" sqref="K4:K6">
      <formula1>"是,否"</formula1>
    </dataValidation>
    <dataValidation type="list" sqref="L4:L6">
      <formula1>"阻断,高,中,低,轻微"</formula1>
    </dataValidation>
    <dataValidation type="list" sqref="O4:O6">
      <formula1>"已完成,待确认,暂不修复"</formula1>
    </dataValidation>
    <dataValidation type="list" sqref="P4:P6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showGridLines="0" topLeftCell="B1" workbookViewId="0">
      <selection activeCell="K7" sqref="K7"/>
    </sheetView>
  </sheetViews>
  <sheetFormatPr defaultColWidth="9" defaultRowHeight="16.8" outlineLevelRow="6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232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233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119" customHeight="1" spans="1:16">
      <c r="A4" s="4" t="s">
        <v>234</v>
      </c>
      <c r="B4" s="4" t="s">
        <v>27</v>
      </c>
      <c r="C4" s="4" t="s">
        <v>235</v>
      </c>
      <c r="D4" s="4" t="s">
        <v>15</v>
      </c>
      <c r="E4" s="4" t="s">
        <v>62</v>
      </c>
      <c r="F4" s="5" t="s">
        <v>236</v>
      </c>
      <c r="G4" s="5" t="s">
        <v>237</v>
      </c>
      <c r="H4" s="5" t="s">
        <v>238</v>
      </c>
      <c r="I4" s="5" t="s">
        <v>239</v>
      </c>
      <c r="J4" s="6" t="s">
        <v>9</v>
      </c>
      <c r="K4" s="6" t="s">
        <v>67</v>
      </c>
      <c r="L4" s="6"/>
      <c r="M4" s="6"/>
      <c r="N4" s="6"/>
      <c r="O4" s="6"/>
      <c r="P4" s="6"/>
    </row>
    <row r="5" ht="102" customHeight="1" spans="1:16">
      <c r="A5" s="7" t="s">
        <v>240</v>
      </c>
      <c r="B5" s="7" t="s">
        <v>27</v>
      </c>
      <c r="C5" s="7" t="s">
        <v>241</v>
      </c>
      <c r="D5" s="7" t="s">
        <v>15</v>
      </c>
      <c r="E5" s="7" t="s">
        <v>87</v>
      </c>
      <c r="F5" s="8" t="s">
        <v>242</v>
      </c>
      <c r="G5" s="8" t="s">
        <v>243</v>
      </c>
      <c r="H5" s="8" t="s">
        <v>244</v>
      </c>
      <c r="I5" s="8" t="s">
        <v>245</v>
      </c>
      <c r="J5" s="6" t="s">
        <v>9</v>
      </c>
      <c r="K5" s="6"/>
      <c r="L5" s="6"/>
      <c r="M5" s="6"/>
      <c r="N5" s="6"/>
      <c r="O5" s="6"/>
      <c r="P5" s="6"/>
    </row>
    <row r="6" ht="102" customHeight="1" spans="1:16">
      <c r="A6" s="4" t="s">
        <v>246</v>
      </c>
      <c r="B6" s="4" t="s">
        <v>27</v>
      </c>
      <c r="C6" s="4" t="s">
        <v>247</v>
      </c>
      <c r="D6" s="4" t="s">
        <v>15</v>
      </c>
      <c r="E6" s="4" t="s">
        <v>87</v>
      </c>
      <c r="F6" s="5" t="s">
        <v>248</v>
      </c>
      <c r="G6" s="5" t="s">
        <v>249</v>
      </c>
      <c r="H6" s="5" t="s">
        <v>250</v>
      </c>
      <c r="I6" s="5" t="s">
        <v>251</v>
      </c>
      <c r="J6" s="6" t="s">
        <v>9</v>
      </c>
      <c r="K6" s="6"/>
      <c r="L6" s="6"/>
      <c r="M6" s="6"/>
      <c r="N6" s="6"/>
      <c r="O6" s="6"/>
      <c r="P6" s="6"/>
    </row>
    <row r="7" ht="85" customHeight="1" spans="1:16">
      <c r="A7" s="7" t="s">
        <v>252</v>
      </c>
      <c r="B7" s="7" t="s">
        <v>27</v>
      </c>
      <c r="C7" s="7" t="s">
        <v>253</v>
      </c>
      <c r="D7" s="7" t="s">
        <v>15</v>
      </c>
      <c r="E7" s="7" t="s">
        <v>62</v>
      </c>
      <c r="F7" s="8" t="s">
        <v>254</v>
      </c>
      <c r="G7" s="8" t="s">
        <v>255</v>
      </c>
      <c r="H7" s="8" t="s">
        <v>256</v>
      </c>
      <c r="I7" s="8" t="s">
        <v>257</v>
      </c>
      <c r="J7" s="6" t="s">
        <v>9</v>
      </c>
      <c r="K7" s="6" t="s">
        <v>67</v>
      </c>
      <c r="L7" s="6"/>
      <c r="M7" s="6"/>
      <c r="N7" s="6"/>
      <c r="O7" s="6"/>
      <c r="P7" s="6"/>
    </row>
  </sheetData>
  <mergeCells count="2">
    <mergeCell ref="A1:P1"/>
    <mergeCell ref="A2:P2"/>
  </mergeCells>
  <conditionalFormatting sqref="D4:D7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7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7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7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7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7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7">
      <formula1>"P0,P1,P2,P3"</formula1>
    </dataValidation>
    <dataValidation type="list" sqref="E4:E7">
      <formula1>"功能,流程,校验,权限,安全,异常"</formula1>
    </dataValidation>
    <dataValidation type="list" sqref="J4:J7">
      <formula1>"未执行,通过,失败,阻塞,不适用"</formula1>
    </dataValidation>
    <dataValidation type="list" sqref="K4:K7">
      <formula1>"是,否"</formula1>
    </dataValidation>
    <dataValidation type="list" sqref="L4:L7">
      <formula1>"阻断,高,中,低,轻微"</formula1>
    </dataValidation>
    <dataValidation type="list" sqref="O4:O7">
      <formula1>"已完成,待确认,暂不修复"</formula1>
    </dataValidation>
    <dataValidation type="list" sqref="P4:P7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showGridLines="0" topLeftCell="B1" workbookViewId="0">
      <selection activeCell="K6" sqref="K6"/>
    </sheetView>
  </sheetViews>
  <sheetFormatPr defaultColWidth="9" defaultRowHeight="16.8" outlineLevelRow="6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258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259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85" customHeight="1" spans="1:16">
      <c r="A4" s="4" t="s">
        <v>260</v>
      </c>
      <c r="B4" s="4" t="s">
        <v>28</v>
      </c>
      <c r="C4" s="4" t="s">
        <v>261</v>
      </c>
      <c r="D4" s="4" t="s">
        <v>15</v>
      </c>
      <c r="E4" s="4" t="s">
        <v>62</v>
      </c>
      <c r="F4" s="5" t="s">
        <v>262</v>
      </c>
      <c r="G4" s="5" t="s">
        <v>263</v>
      </c>
      <c r="H4" s="5" t="s">
        <v>264</v>
      </c>
      <c r="I4" s="5" t="s">
        <v>265</v>
      </c>
      <c r="J4" s="6" t="s">
        <v>9</v>
      </c>
      <c r="K4" s="6" t="s">
        <v>67</v>
      </c>
      <c r="L4" s="6"/>
      <c r="M4" s="6"/>
      <c r="N4" s="6" t="s">
        <v>266</v>
      </c>
      <c r="O4" s="6"/>
      <c r="P4" s="6"/>
    </row>
    <row r="5" ht="85" customHeight="1" spans="1:16">
      <c r="A5" s="7" t="s">
        <v>267</v>
      </c>
      <c r="B5" s="7" t="s">
        <v>28</v>
      </c>
      <c r="C5" s="7" t="s">
        <v>268</v>
      </c>
      <c r="D5" s="7" t="s">
        <v>15</v>
      </c>
      <c r="E5" s="7" t="s">
        <v>87</v>
      </c>
      <c r="F5" s="8" t="s">
        <v>269</v>
      </c>
      <c r="G5" s="8" t="s">
        <v>270</v>
      </c>
      <c r="H5" s="8" t="s">
        <v>271</v>
      </c>
      <c r="I5" s="8" t="s">
        <v>272</v>
      </c>
      <c r="J5" s="6" t="s">
        <v>9</v>
      </c>
      <c r="K5" s="6"/>
      <c r="L5" s="6"/>
      <c r="M5" s="6"/>
      <c r="N5" s="6"/>
      <c r="O5" s="6"/>
      <c r="P5" s="6"/>
    </row>
    <row r="6" ht="85" customHeight="1" spans="1:16">
      <c r="A6" s="4" t="s">
        <v>273</v>
      </c>
      <c r="B6" s="4" t="s">
        <v>28</v>
      </c>
      <c r="C6" s="4" t="s">
        <v>274</v>
      </c>
      <c r="D6" s="4" t="s">
        <v>15</v>
      </c>
      <c r="E6" s="4" t="s">
        <v>80</v>
      </c>
      <c r="F6" s="5" t="s">
        <v>275</v>
      </c>
      <c r="G6" s="5" t="s">
        <v>276</v>
      </c>
      <c r="H6" s="5" t="s">
        <v>277</v>
      </c>
      <c r="I6" s="5" t="s">
        <v>278</v>
      </c>
      <c r="J6" s="6" t="s">
        <v>9</v>
      </c>
      <c r="K6" s="6" t="s">
        <v>67</v>
      </c>
      <c r="L6" s="6"/>
      <c r="M6" s="6"/>
      <c r="N6" s="6"/>
      <c r="O6" s="6"/>
      <c r="P6" s="6"/>
    </row>
    <row r="7" ht="85" customHeight="1" spans="1:16">
      <c r="A7" s="7" t="s">
        <v>279</v>
      </c>
      <c r="B7" s="7" t="s">
        <v>28</v>
      </c>
      <c r="C7" s="7" t="s">
        <v>280</v>
      </c>
      <c r="D7" s="7" t="s">
        <v>15</v>
      </c>
      <c r="E7" s="7" t="s">
        <v>122</v>
      </c>
      <c r="F7" s="8" t="s">
        <v>281</v>
      </c>
      <c r="G7" s="8" t="s">
        <v>282</v>
      </c>
      <c r="H7" s="8" t="s">
        <v>283</v>
      </c>
      <c r="I7" s="8" t="s">
        <v>284</v>
      </c>
      <c r="J7" s="6" t="s">
        <v>9</v>
      </c>
      <c r="K7" s="6"/>
      <c r="L7" s="6"/>
      <c r="M7" s="6"/>
      <c r="N7" s="6"/>
      <c r="O7" s="6"/>
      <c r="P7" s="6"/>
    </row>
  </sheetData>
  <mergeCells count="2">
    <mergeCell ref="A1:P1"/>
    <mergeCell ref="A2:P2"/>
  </mergeCells>
  <conditionalFormatting sqref="D4:D7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7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7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7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7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7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7">
      <formula1>"P0,P1,P2,P3"</formula1>
    </dataValidation>
    <dataValidation type="list" sqref="E4:E7">
      <formula1>"功能,流程,校验,权限,安全,异常"</formula1>
    </dataValidation>
    <dataValidation type="list" sqref="J4:J7">
      <formula1>"未执行,通过,失败,阻塞,不适用"</formula1>
    </dataValidation>
    <dataValidation type="list" sqref="K4:K7">
      <formula1>"是,否"</formula1>
    </dataValidation>
    <dataValidation type="list" sqref="L4:L7">
      <formula1>"阻断,高,中,低,轻微"</formula1>
    </dataValidation>
    <dataValidation type="list" sqref="O4:O7">
      <formula1>"已完成,待确认,暂不修复"</formula1>
    </dataValidation>
    <dataValidation type="list" sqref="P4:P7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"/>
  <sheetViews>
    <sheetView showGridLines="0" tabSelected="1" workbookViewId="0">
      <selection activeCell="A1" sqref="A1:P1"/>
    </sheetView>
  </sheetViews>
  <sheetFormatPr defaultColWidth="9" defaultRowHeight="16.8" outlineLevelRow="7"/>
  <cols>
    <col min="1" max="2" width="16" customWidth="1"/>
    <col min="3" max="3" width="34" customWidth="1"/>
    <col min="4" max="4" width="10" customWidth="1"/>
    <col min="5" max="5" width="12" customWidth="1"/>
    <col min="6" max="7" width="34" customWidth="1"/>
    <col min="8" max="8" width="54" customWidth="1"/>
    <col min="9" max="9" width="56" customWidth="1"/>
    <col min="10" max="12" width="12" customWidth="1"/>
    <col min="13" max="13" width="30" customWidth="1"/>
    <col min="14" max="14" width="26" customWidth="1"/>
    <col min="15" max="16" width="14" customWidth="1"/>
  </cols>
  <sheetData>
    <row r="1" ht="34" customHeight="1" spans="1:16">
      <c r="A1" s="1" t="s">
        <v>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26" customHeight="1" spans="1:16">
      <c r="A2" s="2" t="s">
        <v>286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6" customHeight="1" spans="1:16">
      <c r="A3" s="3" t="s">
        <v>44</v>
      </c>
      <c r="B3" s="3" t="s">
        <v>45</v>
      </c>
      <c r="C3" s="3" t="s">
        <v>46</v>
      </c>
      <c r="D3" s="3" t="s">
        <v>47</v>
      </c>
      <c r="E3" s="3" t="s">
        <v>48</v>
      </c>
      <c r="F3" s="3" t="s">
        <v>49</v>
      </c>
      <c r="G3" s="3" t="s">
        <v>50</v>
      </c>
      <c r="H3" s="3" t="s">
        <v>51</v>
      </c>
      <c r="I3" s="3" t="s">
        <v>52</v>
      </c>
      <c r="J3" s="3" t="s">
        <v>53</v>
      </c>
      <c r="K3" s="3" t="s">
        <v>54</v>
      </c>
      <c r="L3" s="3" t="s">
        <v>55</v>
      </c>
      <c r="M3" s="3" t="s">
        <v>56</v>
      </c>
      <c r="N3" s="3" t="s">
        <v>57</v>
      </c>
      <c r="O3" s="3" t="s">
        <v>58</v>
      </c>
      <c r="P3" s="3" t="s">
        <v>59</v>
      </c>
    </row>
    <row r="4" ht="85" customHeight="1" spans="1:16">
      <c r="A4" s="4" t="s">
        <v>287</v>
      </c>
      <c r="B4" s="4" t="s">
        <v>29</v>
      </c>
      <c r="C4" s="4" t="s">
        <v>288</v>
      </c>
      <c r="D4" s="4" t="s">
        <v>15</v>
      </c>
      <c r="E4" s="4" t="s">
        <v>122</v>
      </c>
      <c r="F4" s="5" t="s">
        <v>289</v>
      </c>
      <c r="G4" s="5" t="s">
        <v>290</v>
      </c>
      <c r="H4" s="5" t="s">
        <v>291</v>
      </c>
      <c r="I4" s="5" t="s">
        <v>292</v>
      </c>
      <c r="J4" s="6" t="s">
        <v>9</v>
      </c>
      <c r="K4" s="6"/>
      <c r="L4" s="6"/>
      <c r="M4" s="6"/>
      <c r="N4" s="6" t="s">
        <v>293</v>
      </c>
      <c r="O4" s="6"/>
      <c r="P4" s="6"/>
    </row>
    <row r="5" ht="85" customHeight="1" spans="1:16">
      <c r="A5" s="7" t="s">
        <v>294</v>
      </c>
      <c r="B5" s="7" t="s">
        <v>29</v>
      </c>
      <c r="C5" s="7" t="s">
        <v>295</v>
      </c>
      <c r="D5" s="7" t="s">
        <v>15</v>
      </c>
      <c r="E5" s="7" t="s">
        <v>122</v>
      </c>
      <c r="F5" s="8" t="s">
        <v>296</v>
      </c>
      <c r="G5" s="8" t="s">
        <v>297</v>
      </c>
      <c r="H5" s="8" t="s">
        <v>298</v>
      </c>
      <c r="I5" s="8" t="s">
        <v>299</v>
      </c>
      <c r="J5" s="6" t="s">
        <v>9</v>
      </c>
      <c r="K5" s="6"/>
      <c r="L5" s="6"/>
      <c r="M5" s="6"/>
      <c r="N5" s="6"/>
      <c r="O5" s="6"/>
      <c r="P5" s="6"/>
    </row>
    <row r="6" ht="102" customHeight="1" spans="1:16">
      <c r="A6" s="4" t="s">
        <v>300</v>
      </c>
      <c r="B6" s="4" t="s">
        <v>29</v>
      </c>
      <c r="C6" s="4" t="s">
        <v>301</v>
      </c>
      <c r="D6" s="4" t="s">
        <v>15</v>
      </c>
      <c r="E6" s="4" t="s">
        <v>122</v>
      </c>
      <c r="F6" s="5" t="s">
        <v>302</v>
      </c>
      <c r="G6" s="5" t="s">
        <v>303</v>
      </c>
      <c r="H6" s="5" t="s">
        <v>304</v>
      </c>
      <c r="I6" s="5" t="s">
        <v>305</v>
      </c>
      <c r="J6" s="6" t="s">
        <v>9</v>
      </c>
      <c r="K6" s="6"/>
      <c r="L6" s="6"/>
      <c r="M6" s="6"/>
      <c r="N6" s="6" t="s">
        <v>306</v>
      </c>
      <c r="O6" s="6"/>
      <c r="P6" s="6"/>
    </row>
    <row r="7" ht="85" customHeight="1" spans="1:16">
      <c r="A7" s="7" t="s">
        <v>307</v>
      </c>
      <c r="B7" s="7" t="s">
        <v>29</v>
      </c>
      <c r="C7" s="7" t="s">
        <v>308</v>
      </c>
      <c r="D7" s="7" t="s">
        <v>15</v>
      </c>
      <c r="E7" s="7" t="s">
        <v>80</v>
      </c>
      <c r="F7" s="8" t="s">
        <v>309</v>
      </c>
      <c r="G7" s="8" t="s">
        <v>310</v>
      </c>
      <c r="H7" s="8" t="s">
        <v>311</v>
      </c>
      <c r="I7" s="8" t="s">
        <v>312</v>
      </c>
      <c r="J7" s="6" t="s">
        <v>9</v>
      </c>
      <c r="K7" s="6"/>
      <c r="L7" s="6"/>
      <c r="M7" s="6"/>
      <c r="N7" s="6"/>
      <c r="O7" s="6"/>
      <c r="P7" s="6"/>
    </row>
    <row r="8" ht="85" customHeight="1" spans="1:16">
      <c r="A8" s="4" t="s">
        <v>313</v>
      </c>
      <c r="B8" s="4" t="s">
        <v>29</v>
      </c>
      <c r="C8" s="4" t="s">
        <v>314</v>
      </c>
      <c r="D8" s="4" t="s">
        <v>15</v>
      </c>
      <c r="E8" s="4" t="s">
        <v>87</v>
      </c>
      <c r="F8" s="5" t="s">
        <v>315</v>
      </c>
      <c r="G8" s="5" t="s">
        <v>316</v>
      </c>
      <c r="H8" s="5" t="s">
        <v>317</v>
      </c>
      <c r="I8" s="5" t="s">
        <v>318</v>
      </c>
      <c r="J8" s="6" t="s">
        <v>9</v>
      </c>
      <c r="K8" s="6"/>
      <c r="L8" s="6"/>
      <c r="M8" s="6"/>
      <c r="N8" s="6" t="s">
        <v>319</v>
      </c>
      <c r="O8" s="6"/>
      <c r="P8" s="6"/>
    </row>
  </sheetData>
  <mergeCells count="2">
    <mergeCell ref="A1:P1"/>
    <mergeCell ref="A2:P2"/>
  </mergeCells>
  <conditionalFormatting sqref="D4:D8">
    <cfRule type="containsText" dxfId="0" priority="1" operator="between" text="P0">
      <formula>NOT(ISERROR(SEARCH("P0",D4)))</formula>
    </cfRule>
    <cfRule type="containsText" dxfId="1" priority="2" operator="between" text="P1">
      <formula>NOT(ISERROR(SEARCH("P1",D4)))</formula>
    </cfRule>
  </conditionalFormatting>
  <conditionalFormatting sqref="J4:J8">
    <cfRule type="containsText" dxfId="2" priority="3" operator="between" text="通过">
      <formula>NOT(ISERROR(SEARCH("通过",J4)))</formula>
    </cfRule>
    <cfRule type="containsText" dxfId="3" priority="4" operator="between" text="失败">
      <formula>NOT(ISERROR(SEARCH("失败",J4)))</formula>
    </cfRule>
    <cfRule type="containsText" dxfId="1" priority="5" operator="between" text="阻塞">
      <formula>NOT(ISERROR(SEARCH("阻塞",J4)))</formula>
    </cfRule>
    <cfRule type="containsText" dxfId="4" priority="6" operator="between" text="未执行">
      <formula>NOT(ISERROR(SEARCH("未执行",J4)))</formula>
    </cfRule>
  </conditionalFormatting>
  <conditionalFormatting sqref="K4:K8">
    <cfRule type="containsText" dxfId="2" priority="7" operator="between" text="是">
      <formula>NOT(ISERROR(SEARCH("是",K4)))</formula>
    </cfRule>
    <cfRule type="containsText" dxfId="3" priority="8" operator="between" text="否">
      <formula>NOT(ISERROR(SEARCH("否",K4)))</formula>
    </cfRule>
  </conditionalFormatting>
  <conditionalFormatting sqref="L4:L8">
    <cfRule type="containsText" dxfId="0" priority="9" operator="between" text="阻断">
      <formula>NOT(ISERROR(SEARCH("阻断",L4)))</formula>
    </cfRule>
    <cfRule type="containsText" dxfId="3" priority="10" operator="between" text="高">
      <formula>NOT(ISERROR(SEARCH("高",L4)))</formula>
    </cfRule>
    <cfRule type="containsText" dxfId="1" priority="11" operator="between" text="中">
      <formula>NOT(ISERROR(SEARCH("中",L4)))</formula>
    </cfRule>
  </conditionalFormatting>
  <conditionalFormatting sqref="O4:O8">
    <cfRule type="containsText" dxfId="2" priority="12" operator="between" text="已完成">
      <formula>NOT(ISERROR(SEARCH("已完成",O4)))</formula>
    </cfRule>
    <cfRule type="containsText" dxfId="1" priority="13" operator="between" text="待确认">
      <formula>NOT(ISERROR(SEARCH("待确认",O4)))</formula>
    </cfRule>
  </conditionalFormatting>
  <conditionalFormatting sqref="P4:P8">
    <cfRule type="containsText" dxfId="2" priority="14" operator="between" text="通过">
      <formula>NOT(ISERROR(SEARCH("通过",P4)))</formula>
    </cfRule>
    <cfRule type="containsText" dxfId="3" priority="15" operator="between" text="不通过">
      <formula>NOT(ISERROR(SEARCH("不通过",P4)))</formula>
    </cfRule>
  </conditionalFormatting>
  <dataValidations count="7">
    <dataValidation type="list" sqref="D4:D8">
      <formula1>"P0,P1,P2,P3"</formula1>
    </dataValidation>
    <dataValidation type="list" sqref="E4:E8">
      <formula1>"功能,流程,校验,权限,安全,异常"</formula1>
    </dataValidation>
    <dataValidation type="list" sqref="J4:J8">
      <formula1>"未执行,通过,失败,阻塞,不适用"</formula1>
    </dataValidation>
    <dataValidation type="list" sqref="K4:K8">
      <formula1>"是,否"</formula1>
    </dataValidation>
    <dataValidation type="list" sqref="L4:L8">
      <formula1>"阻断,高,中,低,轻微"</formula1>
    </dataValidation>
    <dataValidation type="list" sqref="O4:O8">
      <formula1>"已完成,待确认,暂不修复"</formula1>
    </dataValidation>
    <dataValidation type="list" sqref="P4:P8">
      <formula1>"通过,不通过"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测试说明</vt:lpstr>
      <vt:lpstr>入口与年份</vt:lpstr>
      <vt:lpstr>选卷与资格</vt:lpstr>
      <vt:lpstr>创建与重测</vt:lpstr>
      <vt:lpstr>暂停与恢复</vt:lpstr>
      <vt:lpstr>ESAT分段</vt:lpstr>
      <vt:lpstr>TMUA分段</vt:lpstr>
      <vt:lpstr>交卷与同步</vt:lpstr>
      <vt:lpstr>报告与历史</vt:lpstr>
      <vt:lpstr>后台联动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PanLZ</cp:lastModifiedBy>
  <dcterms:created xsi:type="dcterms:W3CDTF">2026-08-11T16:09:18Z</dcterms:created>
  <dcterms:modified xsi:type="dcterms:W3CDTF">2026-08-11T17:39:15Z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CalculationRule">
    <vt:i4>0</vt:i4>
  </property>
  <property fmtid="{D5CDD505-2E9C-101B-9397-08002B2CF9AE}" pid="4" name="ICV">
    <vt:lpwstr>688A051D3DBC8972C0ED7A6A6C0E4591_42</vt:lpwstr>
  </property>
</Properties>
</file>