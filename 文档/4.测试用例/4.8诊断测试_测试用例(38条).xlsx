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e90199a1d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69f633036298467c"/>
    <x:sheet xmlns:r="http://schemas.openxmlformats.org/officeDocument/2006/relationships" name="入口与年份" sheetId="2" r:id="Re917e61120cf42ca"/>
    <x:sheet xmlns:r="http://schemas.openxmlformats.org/officeDocument/2006/relationships" name="选卷与资格" sheetId="3" r:id="Rda5508c3f12c4d7e"/>
    <x:sheet xmlns:r="http://schemas.openxmlformats.org/officeDocument/2006/relationships" name="创建与重测" sheetId="4" r:id="R7087a1f05c984bdd"/>
    <x:sheet xmlns:r="http://schemas.openxmlformats.org/officeDocument/2006/relationships" name="暂停与恢复" sheetId="5" r:id="Rf6507373ec864915"/>
    <x:sheet xmlns:r="http://schemas.openxmlformats.org/officeDocument/2006/relationships" name="ESAT分段" sheetId="6" r:id="R604bd6f64dc04ee0"/>
    <x:sheet xmlns:r="http://schemas.openxmlformats.org/officeDocument/2006/relationships" name="TMUA分段" sheetId="7" r:id="Ra12a602bb1a4456e"/>
    <x:sheet xmlns:r="http://schemas.openxmlformats.org/officeDocument/2006/relationships" name="交卷与同步" sheetId="8" r:id="R5b25a902c2e446a7"/>
    <x:sheet xmlns:r="http://schemas.openxmlformats.org/officeDocument/2006/relationships" name="报告与历史" sheetId="9" r:id="Rae11722c1c0544a6"/>
    <x:sheet xmlns:r="http://schemas.openxmlformats.org/officeDocument/2006/relationships" name="后台联动" sheetId="10" r:id="R85e1b45c26fc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Microsoft YaHei"/>
    </x:font>
    <x:font>
      <x:sz val="10"/>
      <x:color rgb="FF385D8A"/>
      <x:name val="Microsoft YaHei"/>
    </x:font>
    <x:font>
      <x:sz val="10"/>
      <x:color rgb="FF243447"/>
      <x:name val="Microsoft YaHei"/>
    </x:font>
    <x:font>
      <x:b/>
      <x:sz val="10"/>
      <x:color rgb="FFFFFFFF"/>
      <x:name val="Microsoft YaHei"/>
    </x:font>
    <x:font>
      <x:b/>
      <x:sz val="13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243447"/>
      <x:name val="Microsoft YaHei"/>
    </x:font>
    <x:font>
      <x:b/>
      <x:sz val="11"/>
      <x:color rgb="FF17365D"/>
      <x:name val="Microsoft YaHei"/>
    </x:font>
    <x:font>
      <x:b/>
      <x:sz val="16"/>
      <x:color rgb="FFFFFFFF"/>
      <x:name val="Microsoft YaHei"/>
    </x:font>
    <x:font>
      <x:sz val="9"/>
      <x:color rgb="FF243447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  <x:fill>
      <x:patternFill patternType="solid">
        <x:fgColor rgb="FFFFF8E1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53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10" fillId="7" borderId="1" xfId="0" applyNumberFormat="1" applyFont="1" applyFill="1" applyBorder="1" applyAlignment="1">
      <x:alignment horizontal="center"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3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1aca785ca4765" /><Relationship Type="http://schemas.openxmlformats.org/officeDocument/2006/relationships/theme" Target="/xl/theme/theme1.xml" Id="Rea0cddb110214d7c" /><Relationship Type="http://schemas.openxmlformats.org/officeDocument/2006/relationships/sharedStrings" Target="/xl/sharedStrings.xml" Id="R6251880c5a20411c" /><Relationship Type="http://schemas.openxmlformats.org/officeDocument/2006/relationships/worksheet" Target="/xl/worksheets/sheet1.xml" Id="R69f633036298467c" /><Relationship Type="http://schemas.openxmlformats.org/officeDocument/2006/relationships/worksheet" Target="/xl/worksheets/sheet2.xml" Id="Re917e61120cf42ca" /><Relationship Type="http://schemas.openxmlformats.org/officeDocument/2006/relationships/worksheet" Target="/xl/worksheets/sheet3.xml" Id="Rda5508c3f12c4d7e" /><Relationship Type="http://schemas.openxmlformats.org/officeDocument/2006/relationships/worksheet" Target="/xl/worksheets/sheet4.xml" Id="R7087a1f05c984bdd" /><Relationship Type="http://schemas.openxmlformats.org/officeDocument/2006/relationships/worksheet" Target="/xl/worksheets/sheet5.xml" Id="Rf6507373ec864915" /><Relationship Type="http://schemas.openxmlformats.org/officeDocument/2006/relationships/worksheet" Target="/xl/worksheets/sheet6.xml" Id="R604bd6f64dc04ee0" /><Relationship Type="http://schemas.openxmlformats.org/officeDocument/2006/relationships/worksheet" Target="/xl/worksheets/sheet7.xml" Id="Ra12a602bb1a4456e" /><Relationship Type="http://schemas.openxmlformats.org/officeDocument/2006/relationships/worksheet" Target="/xl/worksheets/sheet8.xml" Id="R5b25a902c2e446a7" /><Relationship Type="http://schemas.openxmlformats.org/officeDocument/2006/relationships/worksheet" Target="/xl/worksheets/sheet9.xml" Id="Rae11722c1c0544a6" /><Relationship Type="http://schemas.openxmlformats.org/officeDocument/2006/relationships/worksheet" Target="/xl/worksheets/sheet10.xml" Id="R85e1b45c26fc4fc1" /></Relationships>
</file>

<file path=xl/tables/table1.xml><?xml version="1.0" encoding="utf-8"?>
<x:table xmlns:x="http://schemas.openxmlformats.org/spreadsheetml/2006/main" id="1" name="ManualSummaryTable" displayName="ManualSummaryTable" ref="A9:I19" headerRowCount="1" totalsRowCount="0" totalsRowShown="0">
  <x:tableColumns count="9">
    <x:tableColumn id="1" name="模块"/>
    <x:tableColumn id="2" name="用例数"/>
    <x:tableColumn id="3" name="P0"/>
    <x:tableColumn id="4" name="未执行"/>
    <x:tableColumn id="5" name="是否通过-是"/>
    <x:tableColumn id="6" name="是否通过-否"/>
    <x:tableColumn id="7" name="严重缺陷"/>
    <x:tableColumn id="8" name="已完成修复"/>
    <x:tableColumn id="9" name="回归通过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ManualCases01" displayName="ManualCases01" ref="A3:P7" headerRowCount="1" totalsRowCount="0" totalsRowShown="0">
  <x:autoFilter ref="A3:P7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ManualCases02" displayName="ManualCases02" ref="A3:P9" headerRowCount="1" totalsRowCount="0" totalsRowShown="0">
  <x:autoFilter ref="A3:P9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ManualCases03" displayName="ManualCases03" ref="A3:P7" headerRowCount="1" totalsRowCount="0" totalsRowShown="0">
  <x:autoFilter ref="A3:P7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ManualCases04" displayName="ManualCases04" ref="A3:P7" headerRowCount="1" totalsRowCount="0" totalsRowShown="0">
  <x:autoFilter ref="A3:P7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ManualCases05" displayName="ManualCases05" ref="A3:P7" headerRowCount="1" totalsRowCount="0" totalsRowShown="0">
  <x:autoFilter ref="A3:P7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ManualCases06" displayName="ManualCases06" ref="A3:P6" headerRowCount="1" totalsRowCount="0" totalsRowShown="0">
  <x:autoFilter ref="A3:P6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ManualCases07" displayName="ManualCases07" ref="A3:P7" headerRowCount="1" totalsRowCount="0" totalsRowShown="0">
  <x:autoFilter ref="A3:P7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ManualCases08" displayName="ManualCases08" ref="A3:P7" headerRowCount="1" totalsRowCount="0" totalsRowShown="0">
  <x:autoFilter ref="A3:P7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ManualCases09" displayName="ManualCases09" ref="A3:P8" headerRowCount="1" totalsRowCount="0" totalsRowShown="0">
  <x:autoFilter ref="A3:P8"/>
  <x:tableColumns count="16">
    <x:tableColumn id="1" name="用例编号"/>
    <x:tableColumn id="2" name="功能模块"/>
    <x:tableColumn id="3" name="用例标题"/>
    <x:tableColumn id="4" name="优先级"/>
    <x:tableColumn id="5" name="用例类型"/>
    <x:tableColumn id="6" name="前置条件"/>
    <x:tableColumn id="7" name="测试数据"/>
    <x:tableColumn id="8" name="操作步骤"/>
    <x:tableColumn id="9" name="预期结果"/>
    <x:tableColumn id="10" name="执行状态"/>
    <x:tableColumn id="11" name="是否通过"/>
    <x:tableColumn id="12" name="缺陷等级"/>
    <x:tableColumn id="13" name="实际结果"/>
    <x:tableColumn id="14" name="备注"/>
    <x:tableColumn id="15" name="修复情况"/>
    <x:tableColumn id="16" name="回归情况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1579862cfa4c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80637446f840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0a37dd683441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776c016e1843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c39914cba3e40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0263d947d6444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7a268b6fb5142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1e05d27c1634c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3a301cb9c3147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709a33515f849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38" customHeight="1">
      <x:c r="A1" s="4" t="str">
        <x:v>4.8 诊断测试人工测试用例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7" t="str">
        <x:v>本轮人工P0：覆盖真实浏览器端到端旅程、可见权限、暂停恢复、正式交卷后的跨页面增量与后台联动。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8" t="str">
        <x:v>文档版本</x:v>
      </x:c>
      <x:c r="B4" s="14" t="str">
        <x:v>当前版（2026-08-09）</x:v>
      </x:c>
      <x:c r="C4" s="14"/>
      <x:c r="D4" s="18" t="str">
        <x:v>生成日期</x:v>
      </x:c>
      <x:c r="E4" s="15" t="n">
        <x:v>46243</x:v>
      </x:c>
      <x:c r="F4" s="14"/>
      <x:c r="G4" s="18" t="str">
        <x:v>用例总数</x:v>
      </x:c>
      <x:c r="H4" s="14" t="n">
        <x:f>SUM(B10:B18)</x:f>
        <x:v>38</x:v>
      </x:c>
      <x:c r="I4" s="14"/>
    </x:row>
    <x:row r="5" ht="38" customHeight="1">
      <x:c r="A5" s="18" t="str">
        <x:v>需求来源</x:v>
      </x:c>
      <x:c r="B5" s="14" t="str">
        <x:v>文档/4-需求文档/4.8 诊断测试.md</x:v>
      </x:c>
      <x:c r="C5" s="14"/>
      <x:c r="D5" s="14"/>
      <x:c r="E5" s="14"/>
      <x:c r="F5" s="14"/>
      <x:c r="G5" s="18" t="str">
        <x:v>默认状态</x:v>
      </x:c>
      <x:c r="H5" s="14" t="str">
        <x:v>未执行</x:v>
      </x:c>
      <x:c r="I5" s="14"/>
    </x:row>
    <x:row r="6" ht="42" customHeight="1">
      <x:c r="A6" s="18" t="str">
        <x:v>关联规则</x:v>
      </x:c>
      <x:c r="B6" s="14" t="str">
        <x:v>4.6在线答题、4.7试卷管理、4.2会员权益、4.3个人中心、4.9支付、4.8.1诊断报告；4.8诊断专项规则优先。</x:v>
      </x:c>
      <x:c r="C6" s="14"/>
      <x:c r="D6" s="14"/>
      <x:c r="E6" s="14"/>
      <x:c r="F6" s="14"/>
      <x:c r="G6" s="14"/>
      <x:c r="H6" s="14"/>
      <x:c r="I6" s="14"/>
    </x:row>
    <x:row r="8">
      <x:c r="A8" s="19" t="str">
        <x:v>模块覆盖统计</x:v>
      </x:c>
      <x:c r="B8" s="19"/>
      <x:c r="C8" s="19"/>
      <x:c r="D8" s="19"/>
      <x:c r="E8" s="19"/>
      <x:c r="F8" s="19"/>
      <x:c r="G8" s="19"/>
      <x:c r="H8" s="19"/>
      <x:c r="I8" s="19"/>
    </x:row>
    <x:row r="9">
      <x:c r="A9" s="23" t="str">
        <x:v>模块</x:v>
      </x:c>
      <x:c r="B9" s="23" t="str">
        <x:v>用例数</x:v>
      </x:c>
      <x:c r="C9" s="23" t="str">
        <x:v>P0</x:v>
      </x:c>
      <x:c r="D9" s="23" t="str">
        <x:v>未执行</x:v>
      </x:c>
      <x:c r="E9" s="23" t="str">
        <x:v>是否通过-是</x:v>
      </x:c>
      <x:c r="F9" s="23" t="str">
        <x:v>是否通过-否</x:v>
      </x:c>
      <x:c r="G9" s="23" t="str">
        <x:v>严重缺陷</x:v>
      </x:c>
      <x:c r="H9" s="23" t="str">
        <x:v>已完成修复</x:v>
      </x:c>
      <x:c r="I9" s="23" t="str">
        <x:v>回归通过</x:v>
      </x:c>
    </x:row>
    <x:row r="10">
      <x:c r="A10" s="26" t="str">
        <x:v>入口与年份</x:v>
      </x:c>
      <x:c r="B10" s="26" t="n">
        <x:f>COUNTA('入口与年份'!$A$4:$A$7)</x:f>
        <x:v>4</x:v>
      </x:c>
      <x:c r="C10" s="26" t="n">
        <x:f>COUNTIF('入口与年份'!$D$4:$D$7,"P0")</x:f>
        <x:v>4</x:v>
      </x:c>
      <x:c r="D10" s="26" t="n">
        <x:f>COUNTIF('入口与年份'!$J$4:$J$7,"未执行")</x:f>
        <x:v>4</x:v>
      </x:c>
      <x:c r="E10" s="26" t="n">
        <x:f>COUNTIF('入口与年份'!$K$4:$K$7,"是")</x:f>
        <x:v>0</x:v>
      </x:c>
      <x:c r="F10" s="26" t="n">
        <x:f>COUNTIF('入口与年份'!$K$4:$K$7,"否")</x:f>
        <x:v>0</x:v>
      </x:c>
      <x:c r="G10" s="26" t="n">
        <x:f>COUNTIF('入口与年份'!$L$4:$L$7,"阻断")+COUNTIF('入口与年份'!$L$4:$L$7,"高")</x:f>
        <x:v>0</x:v>
      </x:c>
      <x:c r="H10" s="26" t="n">
        <x:f>COUNTIF('入口与年份'!$O$4:$O$7,"已完成")</x:f>
        <x:v>0</x:v>
      </x:c>
      <x:c r="I10" s="26" t="n">
        <x:f>COUNTIF('入口与年份'!$P$4:$P$7,"通过")</x:f>
        <x:v>0</x:v>
      </x:c>
    </x:row>
    <x:row r="11">
      <x:c r="A11" s="26" t="str">
        <x:v>选卷与资格</x:v>
      </x:c>
      <x:c r="B11" s="26" t="n">
        <x:f>COUNTA('选卷与资格'!$A$4:$A$9)</x:f>
        <x:v>6</x:v>
      </x:c>
      <x:c r="C11" s="26" t="n">
        <x:f>COUNTIF('选卷与资格'!$D$4:$D$9,"P0")</x:f>
        <x:v>6</x:v>
      </x:c>
      <x:c r="D11" s="26" t="n">
        <x:f>COUNTIF('选卷与资格'!$J$4:$J$9,"未执行")</x:f>
        <x:v>6</x:v>
      </x:c>
      <x:c r="E11" s="26" t="n">
        <x:f>COUNTIF('选卷与资格'!$K$4:$K$9,"是")</x:f>
        <x:v>0</x:v>
      </x:c>
      <x:c r="F11" s="26" t="n">
        <x:f>COUNTIF('选卷与资格'!$K$4:$K$9,"否")</x:f>
        <x:v>0</x:v>
      </x:c>
      <x:c r="G11" s="26" t="n">
        <x:f>COUNTIF('选卷与资格'!$L$4:$L$9,"阻断")+COUNTIF('选卷与资格'!$L$4:$L$9,"高")</x:f>
        <x:v>0</x:v>
      </x:c>
      <x:c r="H11" s="26" t="n">
        <x:f>COUNTIF('选卷与资格'!$O$4:$O$9,"已完成")</x:f>
        <x:v>0</x:v>
      </x:c>
      <x:c r="I11" s="26" t="n">
        <x:f>COUNTIF('选卷与资格'!$P$4:$P$9,"通过")</x:f>
        <x:v>0</x:v>
      </x:c>
    </x:row>
    <x:row r="12">
      <x:c r="A12" s="26" t="str">
        <x:v>创建与重测</x:v>
      </x:c>
      <x:c r="B12" s="26" t="n">
        <x:f>COUNTA('创建与重测'!$A$4:$A$7)</x:f>
        <x:v>4</x:v>
      </x:c>
      <x:c r="C12" s="26" t="n">
        <x:f>COUNTIF('创建与重测'!$D$4:$D$7,"P0")</x:f>
        <x:v>4</x:v>
      </x:c>
      <x:c r="D12" s="26" t="n">
        <x:f>COUNTIF('创建与重测'!$J$4:$J$7,"未执行")</x:f>
        <x:v>4</x:v>
      </x:c>
      <x:c r="E12" s="26" t="n">
        <x:f>COUNTIF('创建与重测'!$K$4:$K$7,"是")</x:f>
        <x:v>0</x:v>
      </x:c>
      <x:c r="F12" s="26" t="n">
        <x:f>COUNTIF('创建与重测'!$K$4:$K$7,"否")</x:f>
        <x:v>0</x:v>
      </x:c>
      <x:c r="G12" s="26" t="n">
        <x:f>COUNTIF('创建与重测'!$L$4:$L$7,"阻断")+COUNTIF('创建与重测'!$L$4:$L$7,"高")</x:f>
        <x:v>0</x:v>
      </x:c>
      <x:c r="H12" s="26" t="n">
        <x:f>COUNTIF('创建与重测'!$O$4:$O$7,"已完成")</x:f>
        <x:v>0</x:v>
      </x:c>
      <x:c r="I12" s="26" t="n">
        <x:f>COUNTIF('创建与重测'!$P$4:$P$7,"通过")</x:f>
        <x:v>0</x:v>
      </x:c>
    </x:row>
    <x:row r="13">
      <x:c r="A13" s="26" t="str">
        <x:v>暂停与恢复</x:v>
      </x:c>
      <x:c r="B13" s="26" t="n">
        <x:f>COUNTA('暂停与恢复'!$A$4:$A$7)</x:f>
        <x:v>4</x:v>
      </x:c>
      <x:c r="C13" s="26" t="n">
        <x:f>COUNTIF('暂停与恢复'!$D$4:$D$7,"P0")</x:f>
        <x:v>4</x:v>
      </x:c>
      <x:c r="D13" s="26" t="n">
        <x:f>COUNTIF('暂停与恢复'!$J$4:$J$7,"未执行")</x:f>
        <x:v>4</x:v>
      </x:c>
      <x:c r="E13" s="26" t="n">
        <x:f>COUNTIF('暂停与恢复'!$K$4:$K$7,"是")</x:f>
        <x:v>0</x:v>
      </x:c>
      <x:c r="F13" s="26" t="n">
        <x:f>COUNTIF('暂停与恢复'!$K$4:$K$7,"否")</x:f>
        <x:v>0</x:v>
      </x:c>
      <x:c r="G13" s="26" t="n">
        <x:f>COUNTIF('暂停与恢复'!$L$4:$L$7,"阻断")+COUNTIF('暂停与恢复'!$L$4:$L$7,"高")</x:f>
        <x:v>0</x:v>
      </x:c>
      <x:c r="H13" s="26" t="n">
        <x:f>COUNTIF('暂停与恢复'!$O$4:$O$7,"已完成")</x:f>
        <x:v>0</x:v>
      </x:c>
      <x:c r="I13" s="26" t="n">
        <x:f>COUNTIF('暂停与恢复'!$P$4:$P$7,"通过")</x:f>
        <x:v>0</x:v>
      </x:c>
    </x:row>
    <x:row r="14">
      <x:c r="A14" s="26" t="str">
        <x:v>ESAT分段</x:v>
      </x:c>
      <x:c r="B14" s="26" t="n">
        <x:f>COUNTA('ESAT分段'!$A$4:$A$7)</x:f>
        <x:v>4</x:v>
      </x:c>
      <x:c r="C14" s="26" t="n">
        <x:f>COUNTIF('ESAT分段'!$D$4:$D$7,"P0")</x:f>
        <x:v>4</x:v>
      </x:c>
      <x:c r="D14" s="26" t="n">
        <x:f>COUNTIF('ESAT分段'!$J$4:$J$7,"未执行")</x:f>
        <x:v>4</x:v>
      </x:c>
      <x:c r="E14" s="26" t="n">
        <x:f>COUNTIF('ESAT分段'!$K$4:$K$7,"是")</x:f>
        <x:v>0</x:v>
      </x:c>
      <x:c r="F14" s="26" t="n">
        <x:f>COUNTIF('ESAT分段'!$K$4:$K$7,"否")</x:f>
        <x:v>0</x:v>
      </x:c>
      <x:c r="G14" s="26" t="n">
        <x:f>COUNTIF('ESAT分段'!$L$4:$L$7,"阻断")+COUNTIF('ESAT分段'!$L$4:$L$7,"高")</x:f>
        <x:v>0</x:v>
      </x:c>
      <x:c r="H14" s="26" t="n">
        <x:f>COUNTIF('ESAT分段'!$O$4:$O$7,"已完成")</x:f>
        <x:v>0</x:v>
      </x:c>
      <x:c r="I14" s="26" t="n">
        <x:f>COUNTIF('ESAT分段'!$P$4:$P$7,"通过")</x:f>
        <x:v>0</x:v>
      </x:c>
    </x:row>
    <x:row r="15">
      <x:c r="A15" s="26" t="str">
        <x:v>TMUA分段</x:v>
      </x:c>
      <x:c r="B15" s="26" t="n">
        <x:f>COUNTA('TMUA分段'!$A$4:$A$6)</x:f>
        <x:v>3</x:v>
      </x:c>
      <x:c r="C15" s="26" t="n">
        <x:f>COUNTIF('TMUA分段'!$D$4:$D$6,"P0")</x:f>
        <x:v>3</x:v>
      </x:c>
      <x:c r="D15" s="26" t="n">
        <x:f>COUNTIF('TMUA分段'!$J$4:$J$6,"未执行")</x:f>
        <x:v>3</x:v>
      </x:c>
      <x:c r="E15" s="26" t="n">
        <x:f>COUNTIF('TMUA分段'!$K$4:$K$6,"是")</x:f>
        <x:v>0</x:v>
      </x:c>
      <x:c r="F15" s="26" t="n">
        <x:f>COUNTIF('TMUA分段'!$K$4:$K$6,"否")</x:f>
        <x:v>0</x:v>
      </x:c>
      <x:c r="G15" s="26" t="n">
        <x:f>COUNTIF('TMUA分段'!$L$4:$L$6,"阻断")+COUNTIF('TMUA分段'!$L$4:$L$6,"高")</x:f>
        <x:v>0</x:v>
      </x:c>
      <x:c r="H15" s="26" t="n">
        <x:f>COUNTIF('TMUA分段'!$O$4:$O$6,"已完成")</x:f>
        <x:v>0</x:v>
      </x:c>
      <x:c r="I15" s="26" t="n">
        <x:f>COUNTIF('TMUA分段'!$P$4:$P$6,"通过")</x:f>
        <x:v>0</x:v>
      </x:c>
    </x:row>
    <x:row r="16">
      <x:c r="A16" s="26" t="str">
        <x:v>交卷与同步</x:v>
      </x:c>
      <x:c r="B16" s="26" t="n">
        <x:f>COUNTA('交卷与同步'!$A$4:$A$7)</x:f>
        <x:v>4</x:v>
      </x:c>
      <x:c r="C16" s="26" t="n">
        <x:f>COUNTIF('交卷与同步'!$D$4:$D$7,"P0")</x:f>
        <x:v>4</x:v>
      </x:c>
      <x:c r="D16" s="26" t="n">
        <x:f>COUNTIF('交卷与同步'!$J$4:$J$7,"未执行")</x:f>
        <x:v>4</x:v>
      </x:c>
      <x:c r="E16" s="26" t="n">
        <x:f>COUNTIF('交卷与同步'!$K$4:$K$7,"是")</x:f>
        <x:v>0</x:v>
      </x:c>
      <x:c r="F16" s="26" t="n">
        <x:f>COUNTIF('交卷与同步'!$K$4:$K$7,"否")</x:f>
        <x:v>0</x:v>
      </x:c>
      <x:c r="G16" s="26" t="n">
        <x:f>COUNTIF('交卷与同步'!$L$4:$L$7,"阻断")+COUNTIF('交卷与同步'!$L$4:$L$7,"高")</x:f>
        <x:v>0</x:v>
      </x:c>
      <x:c r="H16" s="26" t="n">
        <x:f>COUNTIF('交卷与同步'!$O$4:$O$7,"已完成")</x:f>
        <x:v>0</x:v>
      </x:c>
      <x:c r="I16" s="26" t="n">
        <x:f>COUNTIF('交卷与同步'!$P$4:$P$7,"通过")</x:f>
        <x:v>0</x:v>
      </x:c>
    </x:row>
    <x:row r="17">
      <x:c r="A17" s="26" t="str">
        <x:v>报告与历史</x:v>
      </x:c>
      <x:c r="B17" s="26" t="n">
        <x:f>COUNTA('报告与历史'!$A$4:$A$7)</x:f>
        <x:v>4</x:v>
      </x:c>
      <x:c r="C17" s="26" t="n">
        <x:f>COUNTIF('报告与历史'!$D$4:$D$7,"P0")</x:f>
        <x:v>4</x:v>
      </x:c>
      <x:c r="D17" s="26" t="n">
        <x:f>COUNTIF('报告与历史'!$J$4:$J$7,"未执行")</x:f>
        <x:v>4</x:v>
      </x:c>
      <x:c r="E17" s="26" t="n">
        <x:f>COUNTIF('报告与历史'!$K$4:$K$7,"是")</x:f>
        <x:v>0</x:v>
      </x:c>
      <x:c r="F17" s="26" t="n">
        <x:f>COUNTIF('报告与历史'!$K$4:$K$7,"否")</x:f>
        <x:v>0</x:v>
      </x:c>
      <x:c r="G17" s="26" t="n">
        <x:f>COUNTIF('报告与历史'!$L$4:$L$7,"阻断")+COUNTIF('报告与历史'!$L$4:$L$7,"高")</x:f>
        <x:v>0</x:v>
      </x:c>
      <x:c r="H17" s="26" t="n">
        <x:f>COUNTIF('报告与历史'!$O$4:$O$7,"已完成")</x:f>
        <x:v>0</x:v>
      </x:c>
      <x:c r="I17" s="26" t="n">
        <x:f>COUNTIF('报告与历史'!$P$4:$P$7,"通过")</x:f>
        <x:v>0</x:v>
      </x:c>
    </x:row>
    <x:row r="18">
      <x:c r="A18" s="26" t="str">
        <x:v>后台联动</x:v>
      </x:c>
      <x:c r="B18" s="26" t="n">
        <x:f>COUNTA('后台联动'!$A$4:$A$8)</x:f>
        <x:v>5</x:v>
      </x:c>
      <x:c r="C18" s="26" t="n">
        <x:f>COUNTIF('后台联动'!$D$4:$D$8,"P0")</x:f>
        <x:v>5</x:v>
      </x:c>
      <x:c r="D18" s="26" t="n">
        <x:f>COUNTIF('后台联动'!$J$4:$J$8,"未执行")</x:f>
        <x:v>5</x:v>
      </x:c>
      <x:c r="E18" s="26" t="n">
        <x:f>COUNTIF('后台联动'!$K$4:$K$8,"是")</x:f>
        <x:v>0</x:v>
      </x:c>
      <x:c r="F18" s="26" t="n">
        <x:f>COUNTIF('后台联动'!$K$4:$K$8,"否")</x:f>
        <x:v>0</x:v>
      </x:c>
      <x:c r="G18" s="26" t="n">
        <x:f>COUNTIF('后台联动'!$L$4:$L$8,"阻断")+COUNTIF('后台联动'!$L$4:$L$8,"高")</x:f>
        <x:v>0</x:v>
      </x:c>
      <x:c r="H18" s="26" t="n">
        <x:f>COUNTIF('后台联动'!$O$4:$O$8,"已完成")</x:f>
        <x:v>0</x:v>
      </x:c>
      <x:c r="I18" s="26" t="n">
        <x:f>COUNTIF('后台联动'!$P$4:$P$8,"通过")</x:f>
        <x:v>0</x:v>
      </x:c>
    </x:row>
    <x:row r="19">
      <x:c r="A19" s="29" t="str">
        <x:v>合计</x:v>
      </x:c>
      <x:c r="B19" s="29" t="n">
        <x:f>SUM(B10:B18)</x:f>
        <x:v>38</x:v>
      </x:c>
      <x:c r="C19" s="29" t="n">
        <x:f>SUM(C10:C18)</x:f>
        <x:v>38</x:v>
      </x:c>
      <x:c r="D19" s="29" t="n">
        <x:f>SUM(D10:D18)</x:f>
        <x:v>38</x:v>
      </x:c>
      <x:c r="E19" s="29" t="n">
        <x:f>SUM(E10:E18)</x:f>
        <x:v>0</x:v>
      </x:c>
      <x:c r="F19" s="29" t="n">
        <x:f>SUM(F10:F18)</x:f>
        <x:v>0</x:v>
      </x:c>
      <x:c r="G19" s="29" t="n">
        <x:f>SUM(G10:G18)</x:f>
        <x:v>0</x:v>
      </x:c>
      <x:c r="H19" s="29" t="n">
        <x:f>SUM(H10:H18)</x:f>
        <x:v>0</x:v>
      </x:c>
      <x:c r="I19" s="29" t="n">
        <x:f>SUM(I10:I18)</x:f>
        <x:v>0</x:v>
      </x:c>
    </x:row>
    <x:row r="22">
      <x:c r="A22" s="19" t="str">
        <x:v>使用说明</x:v>
      </x:c>
      <x:c r="B22" s="19"/>
      <x:c r="C22" s="19"/>
      <x:c r="D22" s="19"/>
      <x:c r="E22" s="19"/>
      <x:c r="F22" s="19"/>
      <x:c r="G22" s="19"/>
      <x:c r="H22" s="19"/>
      <x:c r="I22" s="19"/>
    </x:row>
    <x:row r="23" ht="34" customHeight="1">
      <x:c r="A23" s="34" t="str">
        <x:v>执行方式</x:v>
      </x:c>
      <x:c r="B23" s="35" t="str">
        <x:v>使用真实浏览器按编号步骤执行；涉及次数或状态时先记录基线，验证未完成不变化，再正式交卷并返回来源页面复核。</x:v>
      </x:c>
      <x:c r="C23" s="35"/>
      <x:c r="D23" s="35"/>
      <x:c r="E23" s="35"/>
      <x:c r="F23" s="35"/>
      <x:c r="G23" s="35"/>
      <x:c r="H23" s="35"/>
      <x:c r="I23" s="35"/>
    </x:row>
    <x:row r="24" ht="34" customHeight="1">
      <x:c r="A24" s="34" t="str">
        <x:v>数据准备</x:v>
      </x:c>
      <x:c r="B24" s="35" t="str">
        <x:v>准备游客、普通学生、ESAT/TMUA会员、管理员、可控支付、不同发布状态试卷以及可暂停和故障注入的测试数据。</x:v>
      </x:c>
      <x:c r="C24" s="35"/>
      <x:c r="D24" s="35"/>
      <x:c r="E24" s="35"/>
      <x:c r="F24" s="35"/>
      <x:c r="G24" s="35"/>
      <x:c r="H24" s="35"/>
      <x:c r="I24" s="35"/>
    </x:row>
    <x:row r="25" ht="34" customHeight="1">
      <x:c r="A25" s="34" t="str">
        <x:v>判定原则</x:v>
      </x:c>
      <x:c r="B25" s="35" t="str">
        <x:v>关键步骤全部符合预期才填写是否通过=是；当前实现待对齐项按需求结果判定并登记缺陷。</x:v>
      </x:c>
      <x:c r="C25" s="35"/>
      <x:c r="D25" s="35"/>
      <x:c r="E25" s="35"/>
      <x:c r="F25" s="35"/>
      <x:c r="G25" s="35"/>
      <x:c r="H25" s="35"/>
      <x:c r="I25" s="35"/>
    </x:row>
    <x:row r="26" ht="34" customHeight="1">
      <x:c r="A26" s="34" t="str">
        <x:v>缺陷记录</x:v>
      </x:c>
      <x:c r="B26" s="35" t="str">
        <x:v>失败时填写缺陷等级和实际结果；修复后补充修复情况与回归情况。</x:v>
      </x:c>
      <x:c r="C26" s="35"/>
      <x:c r="D26" s="35"/>
      <x:c r="E26" s="35"/>
      <x:c r="F26" s="35"/>
      <x:c r="G26" s="35"/>
      <x:c r="H26" s="35"/>
      <x:c r="I26" s="35"/>
    </x:row>
    <x:row r="27" ht="34" customHeight="1">
      <x:c r="A27" s="34" t="str">
        <x:v>自动化分工</x:v>
      </x:c>
      <x:c r="B27" s="35" t="str">
        <x:v>参数边界、并发、时钟、幂等、原子性和越权矩阵由自动化工作簿覆盖，不在人工表重复展开。</x:v>
      </x:c>
      <x:c r="C27" s="35"/>
      <x:c r="D27" s="35"/>
      <x:c r="E27" s="35"/>
      <x:c r="F27" s="35"/>
      <x:c r="G27" s="35"/>
      <x:c r="H27" s="35"/>
      <x:c r="I27" s="35"/>
    </x:row>
  </x:sheetData>
  <x:mergeCells>
    <x:mergeCell ref="A1:I1"/>
    <x:mergeCell ref="A2:I2"/>
    <x:mergeCell ref="B4:C4"/>
    <x:mergeCell ref="E4:F4"/>
    <x:mergeCell ref="H4:I4"/>
    <x:mergeCell ref="B5:F5"/>
    <x:mergeCell ref="H5:I5"/>
    <x:mergeCell ref="B6:I6"/>
    <x:mergeCell ref="A8:I8"/>
    <x:mergeCell ref="A22:I22"/>
    <x:mergeCell ref="B23:I23"/>
    <x:mergeCell ref="B24:I24"/>
    <x:mergeCell ref="B25:I25"/>
    <x:mergeCell ref="B26:I26"/>
    <x:mergeCell ref="B27:I27"/>
  </x:mergeCells>
  <x:pageMargins left="0.7" right="0.7" top="0.75" bottom="0.75" header="0.3" footer="0.3"/>
  <x:tableParts count="1">
    <x:tablePart xmlns:r="http://schemas.openxmlformats.org/officeDocument/2006/relationships" r:id="Rb61579862cfa4c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诊断测试人工测试用例｜入口与年份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入口与年份：4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85" customHeight="1">
      <x:c r="A4" s="49" t="str">
        <x:v>DIAG-ENTRY-001</x:v>
      </x:c>
      <x:c r="B4" s="49" t="str">
        <x:v>入口与年份</x:v>
      </x:c>
      <x:c r="C4" s="49" t="str">
        <x:v>游客浏览年份并在登录后返回诊断首页</x:v>
      </x:c>
      <x:c r="D4" s="49" t="str">
        <x:v>P0</x:v>
      </x:c>
      <x:c r="E4" s="49" t="str">
        <x:v>流程</x:v>
      </x:c>
      <x:c r="F4" s="47" t="str">
        <x:v>浏览器未登录；ESAT、TMUA均有已上线诊断年份</x:v>
      </x:c>
      <x:c r="G4" s="47" t="str">
        <x:v>入口：诊断测试；任一可用年份</x:v>
      </x:c>
      <x:c r="H4" s="47" t="str">
        <x:v>1. 以游客身份进入诊断测试首页并记录当前考试和年份卡片
2. 点击一个年份并执行开始类操作
3. 确认页面进入登录流程且未创建测试
4. 使用有效学生账号完成登录
5. 确认登录后返回诊断首页，并再次打开原考试年份</x:v>
      </x:c>
      <x:c r="I4" s="47" t="str">
        <x:v>游客可浏览年份和考试结构；开始前必须登录；登录成功回到诊断首页且未提前创建测试，原考试上下文可继续操作。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85" customHeight="1">
      <x:c r="A5" s="52" t="str">
        <x:v>DIAG-ENTRY-002</x:v>
      </x:c>
      <x:c r="B5" s="52" t="str">
        <x:v>入口与年份</x:v>
      </x:c>
      <x:c r="C5" s="52" t="str">
        <x:v>全局考试切换只展示最后选择的考试数据</x:v>
      </x:c>
      <x:c r="D5" s="52" t="str">
        <x:v>P0</x:v>
      </x:c>
      <x:c r="E5" s="52" t="str">
        <x:v>功能</x:v>
      </x:c>
      <x:c r="F5" s="51" t="str">
        <x:v>ESAT和TMUA存在不同年份；可模拟一方加载较慢</x:v>
      </x:c>
      <x:c r="G5" s="51" t="str">
        <x:v>快速切换顺序：ESAT→TMUA→ESAT</x:v>
      </x:c>
      <x:c r="H5" s="51" t="str">
        <x:v>1. 进入诊断首页并记录当前全局考试类型和年份
2. 快速按测试数据切换全局考试类型
3. 等待所有加载请求完成
4. 核对标题、说明、年份卡片和弹窗入口
5. 刷新页面并再次核对当前考试</x:v>
      </x:c>
      <x:c r="I5" s="51" t="str">
        <x:v>最终只展示最后选择的ESAT数据；延迟返回的TMUA数据不能覆盖页面；诊断页内不出现重复的考试筛选。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102" customHeight="1">
      <x:c r="A6" s="49" t="str">
        <x:v>DIAG-ENTRY-003</x:v>
      </x:c>
      <x:c r="B6" s="49" t="str">
        <x:v>入口与年份</x:v>
      </x:c>
      <x:c r="C6" s="49" t="str">
        <x:v>年份卡片状态、历史次数和倒序展示正确</x:v>
      </x:c>
      <x:c r="D6" s="49" t="str">
        <x:v>P0</x:v>
      </x:c>
      <x:c r="E6" s="49" t="str">
        <x:v>校验</x:v>
      </x:c>
      <x:c r="F6" s="47" t="str">
        <x:v>同一考试准备未完成、进行中、已完成三个年份</x:v>
      </x:c>
      <x:c r="G6" s="47" t="str">
        <x:v>2024未完成；2023已完成2次；2022进行中且有1次历史</x:v>
      </x:c>
      <x:c r="H6" s="47" t="str">
        <x:v>1. 登录学生并进入对应考试的诊断首页
2. 记录后台准备的各年份状态和历史次数基线H
3. 自上而下核对年份排序、考试构成和状态文案
4. 打开存在历史的年份并核对独立历史入口
5. 对未完成年份完成一次正式交卷后返回诊断首页
6. 刷新页面后再次核对状态优先级和历史次数</x:v>
      </x:c>
      <x:c r="I6" s="47" t="str">
        <x:v>年份按倒序展示；进行中优先于已完成，已提交记录显示已完成，无记录显示未完成；正式交卷后目标年份历史次数H+1，其他年份保持不变。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DIAG-ENTRY-004</x:v>
      </x:c>
      <x:c r="B7" s="52" t="str">
        <x:v>入口与年份</x:v>
      </x:c>
      <x:c r="C7" s="52" t="str">
        <x:v>加载失败、真正空数据与已下线历史年份明确区分</x:v>
      </x:c>
      <x:c r="D7" s="52" t="str">
        <x:v>P0</x:v>
      </x:c>
      <x:c r="E7" s="52" t="str">
        <x:v>异常</x:v>
      </x:c>
      <x:c r="F7" s="51" t="str">
        <x:v>可分别模拟加载失败、无可见年份、仅有已下线进行中或历史记录</x:v>
      </x:c>
      <x:c r="G7" s="51" t="str">
        <x:v>失败；空数据；已下线+进行中；已下线+已完成</x:v>
      </x:c>
      <x:c r="H7" s="51" t="str">
        <x:v>1. 分别使用四组数据进入诊断首页
2. 记录每组页面标题和年份区域内容
3. 在失败组点击重新加载
4. 在已下线组打开继续或历史入口
5. 刷新页面并核对上下文仍属于原考试</x:v>
      </x:c>
      <x:c r="I7" s="51" t="str">
        <x:v>失败显示原因和重新加载，不能伪装为空；空数据明确提示暂无已上线年份；已下线但有进行中或历史的年份仍保留继续或历史入口。</x:v>
      </x:c>
      <x:c r="J7" s="50" t="str">
        <x:v>未执行</x:v>
      </x:c>
      <x:c r="K7" s="50"/>
      <x:c r="L7" s="50"/>
      <x:c r="M7" s="50"/>
      <x:c r="N7" s="50" t="str">
        <x:v>当前实现待对齐：年份卡片需要明确展示“已下线”。</x:v>
      </x:c>
      <x:c r="O7" s="50"/>
      <x:c r="P7" s="50"/>
    </x:row>
  </x:sheetData>
  <x:mergeCells>
    <x:mergeCell ref="A1:P1"/>
    <x:mergeCell ref="A2:P2"/>
  </x:mergeCells>
  <x:conditionalFormatting sqref="D4:D7">
    <x:cfRule type="containsText" dxfId="0" priority="1" operator="containsText" text="P0"/>
    <x:cfRule type="containsText" dxfId="1" priority="2" operator="containsText" text="P1"/>
  </x:conditionalFormatting>
  <x:conditionalFormatting sqref="J4:J7">
    <x:cfRule type="containsText" dxfId="2" priority="3" operator="containsText" text="通过"/>
    <x:cfRule type="containsText" dxfId="3" priority="4" operator="containsText" text="失败"/>
    <x:cfRule type="containsText" dxfId="4" priority="5" operator="containsText" text="阻塞"/>
    <x:cfRule type="containsText" dxfId="5" priority="6" operator="containsText" text="未执行"/>
  </x:conditionalFormatting>
  <x:conditionalFormatting sqref="K4:K7">
    <x:cfRule type="containsText" dxfId="6" priority="7" operator="containsText" text="是"/>
    <x:cfRule type="containsText" dxfId="7" priority="8" operator="containsText" text="否"/>
  </x:conditionalFormatting>
  <x:conditionalFormatting sqref="L4:L7">
    <x:cfRule type="containsText" dxfId="8" priority="9" operator="containsText" text="阻断"/>
    <x:cfRule type="containsText" dxfId="9" priority="10" operator="containsText" text="高"/>
    <x:cfRule type="containsText" dxfId="10" priority="11" operator="containsText" text="中"/>
  </x:conditionalFormatting>
  <x:conditionalFormatting sqref="O4:O7">
    <x:cfRule type="containsText" dxfId="11" priority="12" operator="containsText" text="已完成"/>
    <x:cfRule type="containsText" dxfId="12" priority="13" operator="containsText" text="待确认"/>
  </x:conditionalFormatting>
  <x:conditionalFormatting sqref="P4:P7">
    <x:cfRule type="containsText" dxfId="13" priority="14" operator="containsText" text="通过"/>
    <x:cfRule type="containsText" dxfId="14" priority="15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"阻断,高,中,低,轻微"</x:formula1>
    </x:dataValidation>
    <x:dataValidation type="list" sqref="O4:O7">
      <x:formula1>"已完成,待确认,暂不修复"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80637446f840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诊断测试人工测试用例｜选卷与资格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选卷与资格：6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102" customHeight="1">
      <x:c r="A4" s="49" t="str">
        <x:v>DIAG-SELECT-001</x:v>
      </x:c>
      <x:c r="B4" s="49" t="str">
        <x:v>选卷与资格</x:v>
      </x:c>
      <x:c r="C4" s="49" t="str">
        <x:v>ESAT三科选择与精确组合匹配</x:v>
      </x:c>
      <x:c r="D4" s="49" t="str">
        <x:v>P0</x:v>
      </x:c>
      <x:c r="E4" s="49" t="str">
        <x:v>流程</x:v>
      </x:c>
      <x:c r="F4" s="47" t="str">
        <x:v>目标年份有多个已上线ESAT组合卷</x:v>
      </x:c>
      <x:c r="G4" s="47" t="str">
        <x:v>必选Mathematics 1；另选Physics、Chemistry</x:v>
      </x:c>
      <x:c r="H4" s="47" t="str">
        <x:v>1. 进入ESAT诊断首页并点击目标年份
2. 核对Mathematics 1默认选中且不可取消
3. 只选一门可选科并核对开始按钮
4. 再选第二门并核对匹配卷名称、题量、总时长和会员属性
5. 尝试选择第四科，先取消一科后再替换
6. 确认最终组合并开始</x:v>
      </x:c>
      <x:c r="I4" s="47" t="str">
        <x:v>不足三科不能开始；恰好三科才能匹配；选满后不能直接增加第四科；按年份和三个科目精确匹配并进入所选卷第一科。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85" customHeight="1">
      <x:c r="A5" s="52" t="str">
        <x:v>DIAG-SELECT-002</x:v>
      </x:c>
      <x:c r="B5" s="52" t="str">
        <x:v>选卷与资格</x:v>
      </x:c>
      <x:c r="C5" s="52" t="str">
        <x:v>ESAT无已发布组合时阻止开始并保留选择上下文</x:v>
      </x:c>
      <x:c r="D5" s="52" t="str">
        <x:v>P0</x:v>
      </x:c>
      <x:c r="E5" s="52" t="str">
        <x:v>异常</x:v>
      </x:c>
      <x:c r="F5" s="51" t="str">
        <x:v>目标年份不存在所选三科的已上线组合卷</x:v>
      </x:c>
      <x:c r="G5" s="51" t="str">
        <x:v>Mathematics 1+Biology+Mathematics 2</x:v>
      </x:c>
      <x:c r="H5" s="51" t="str">
        <x:v>1. 打开目标年份ESAT选科弹窗
2. 选择测试数据中的三科组合
3. 核对匹配结果和主按钮状态
4. 切换其中一科后再次匹配
5. 关闭并重新打开同一年份弹窗</x:v>
      </x:c>
      <x:c r="I5" s="51" t="str">
        <x:v>无匹配时显示“该年份暂无所选科目组合的已发布诊断卷”，开始按钮不可用且不创建测试；更换组合后按新组合重新匹配。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85" customHeight="1">
      <x:c r="A6" s="49" t="str">
        <x:v>DIAG-SELECT-003</x:v>
      </x:c>
      <x:c r="B6" s="49" t="str">
        <x:v>选卷与资格</x:v>
      </x:c>
      <x:c r="C6" s="49" t="str">
        <x:v>TMUA只允许完整双卷开始或重测</x:v>
      </x:c>
      <x:c r="D6" s="49" t="str">
        <x:v>P0</x:v>
      </x:c>
      <x:c r="E6" s="49" t="str">
        <x:v>校验</x:v>
      </x:c>
      <x:c r="F6" s="47" t="str">
        <x:v>分别准备完整Paper 1+Paper 2和缺失任一Paper的年份</x:v>
      </x:c>
      <x:c r="G6" s="47" t="str">
        <x:v>完整双卷；仅Paper 1；仅Paper 2</x:v>
      </x:c>
      <x:c r="H6" s="47" t="str">
        <x:v>1. 切换到TMUA并打开完整双卷年份
2. 核对弹窗展示两卷必做、各卷题量和用途
3. 确认后进入Paper 1
4. 返回首页并打开不完整年份
5. 尝试确认开始或重新测试</x:v>
      </x:c>
      <x:c r="I6" s="47" t="str">
        <x:v>完整双卷可进入Paper 1；缺失任一Paper时明确提示结构不完整并阻止创建，不得以单卷开始。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DIAG-SELECT-004</x:v>
      </x:c>
      <x:c r="B7" s="52" t="str">
        <x:v>选卷与资格</x:v>
      </x:c>
      <x:c r="C7" s="52" t="str">
        <x:v>会员卷购买成功后原页面即时解锁</x:v>
      </x:c>
      <x:c r="D7" s="52" t="str">
        <x:v>P0</x:v>
      </x:c>
      <x:c r="E7" s="52" t="str">
        <x:v>流程</x:v>
      </x:c>
      <x:c r="F7" s="51" t="str">
        <x:v>普通学生无目标考试会员；目标年份只有已上线会员卷；支付测试通道可成功</x:v>
      </x:c>
      <x:c r="G7" s="51" t="str">
        <x:v>分别执行ESAT和TMUA会员卷</x:v>
      </x:c>
      <x:c r="H7" s="51" t="str">
        <x:v>1. 登录普通学生并打开目标年份，记录锁定状态
2. 点击开通会员并核对支付弹窗预选当前考试
3. 完成真实测试支付并等待权益生效提示
4. 不刷新整个页面，返回原选择弹窗或年份卡片
5. 立即确认并开始诊断</x:v>
      </x:c>
      <x:c r="I7" s="51" t="str">
        <x:v>无会员时显示锁定和开通入口；支付成功后刷新对应考试权益，原页面解除锁定并可直接开始；另一考试权益保持不变。</x:v>
      </x:c>
      <x:c r="J7" s="50" t="str">
        <x:v>未执行</x:v>
      </x:c>
      <x:c r="K7" s="50"/>
      <x:c r="L7" s="50"/>
      <x:c r="M7" s="50"/>
      <x:c r="N7" s="50"/>
      <x:c r="O7" s="50"/>
      <x:c r="P7" s="50"/>
    </x:row>
    <x:row r="8" ht="85" customHeight="1">
      <x:c r="A8" s="49" t="str">
        <x:v>DIAG-SELECT-005</x:v>
      </x:c>
      <x:c r="B8" s="49" t="str">
        <x:v>选卷与资格</x:v>
      </x:c>
      <x:c r="C8" s="49" t="str">
        <x:v>ESAT与TMUA会员权限严格隔离</x:v>
      </x:c>
      <x:c r="D8" s="49" t="str">
        <x:v>P0</x:v>
      </x:c>
      <x:c r="E8" s="49" t="str">
        <x:v>权限</x:v>
      </x:c>
      <x:c r="F8" s="47" t="str">
        <x:v>学生仅有ESAT有效会员；两类考试均有会员卷</x:v>
      </x:c>
      <x:c r="G8" s="47" t="str">
        <x:v>ESAT有效会员；TMUA无会员</x:v>
      </x:c>
      <x:c r="H8" s="47" t="str">
        <x:v>1. 登录学生并记录ESAT与TMUA会员状态基线
2. 进入ESAT会员卷年份并完成开始，随后暂停返回
3. 切换到TMUA会员卷年份
4. 核对锁定状态并尝试开始
5. 再切回ESAT核对权益未受影响</x:v>
      </x:c>
      <x:c r="I8" s="47" t="str">
        <x:v>ESAT会员只解锁ESAT会员卷；TMUA仍锁定且不能创建；切换考试后两类会员状态均保持原值。</x:v>
      </x:c>
      <x:c r="J8" s="50" t="str">
        <x:v>未执行</x:v>
      </x:c>
      <x:c r="K8" s="50"/>
      <x:c r="L8" s="50"/>
      <x:c r="M8" s="50"/>
      <x:c r="N8" s="50"/>
      <x:c r="O8" s="50"/>
      <x:c r="P8" s="50"/>
    </x:row>
    <x:row r="9" ht="85" customHeight="1">
      <x:c r="A9" s="52" t="str">
        <x:v>DIAG-SELECT-006</x:v>
      </x:c>
      <x:c r="B9" s="52" t="str">
        <x:v>选卷与资格</x:v>
      </x:c>
      <x:c r="C9" s="52" t="str">
        <x:v>同考试进行中优先提示且跨考试互不阻断</x:v>
      </x:c>
      <x:c r="D9" s="52" t="str">
        <x:v>P0</x:v>
      </x:c>
      <x:c r="E9" s="52" t="str">
        <x:v>流程</x:v>
      </x:c>
      <x:c r="F9" s="51" t="str">
        <x:v>学生已有一场2022 ESAT进行中；TMUA无进行中</x:v>
      </x:c>
      <x:c r="G9" s="51" t="str">
        <x:v>点击2024 ESAT和任一TMUA年份</x:v>
      </x:c>
      <x:c r="H9" s="51" t="str">
        <x:v>1. 进入ESAT诊断首页并点击其他年份
2. 核对继续原测试提示并点击取消
3. 确认没有创建新ESAT测试
4. 再次点击并确认继续，核对进入2022原测试真实阶段
5. 返回后切换TMUA并开始一场可用诊断</x:v>
      </x:c>
      <x:c r="I9" s="51" t="str">
        <x:v>任意ESAT新开始或重测先定位原进行中；取消只关闭提示；确认恢复原测试；ESAT进行中不阻止创建TMUA测试。</x:v>
      </x:c>
      <x:c r="J9" s="50" t="str">
        <x:v>未执行</x:v>
      </x:c>
      <x:c r="K9" s="50"/>
      <x:c r="L9" s="50"/>
      <x:c r="M9" s="50"/>
      <x:c r="N9" s="50"/>
      <x:c r="O9" s="50"/>
      <x:c r="P9" s="50"/>
    </x:row>
  </x:sheetData>
  <x:mergeCells>
    <x:mergeCell ref="A1:P1"/>
    <x:mergeCell ref="A2:P2"/>
  </x:mergeCells>
  <x:conditionalFormatting sqref="D4:D9">
    <x:cfRule type="containsText" dxfId="15" priority="1" operator="containsText" text="P0"/>
    <x:cfRule type="containsText" dxfId="16" priority="2" operator="containsText" text="P1"/>
  </x:conditionalFormatting>
  <x:conditionalFormatting sqref="J4:J9">
    <x:cfRule type="containsText" dxfId="17" priority="3" operator="containsText" text="通过"/>
    <x:cfRule type="containsText" dxfId="18" priority="4" operator="containsText" text="失败"/>
    <x:cfRule type="containsText" dxfId="19" priority="5" operator="containsText" text="阻塞"/>
    <x:cfRule type="containsText" dxfId="20" priority="6" operator="containsText" text="未执行"/>
  </x:conditionalFormatting>
  <x:conditionalFormatting sqref="K4:K9">
    <x:cfRule type="containsText" dxfId="21" priority="7" operator="containsText" text="是"/>
    <x:cfRule type="containsText" dxfId="22" priority="8" operator="containsText" text="否"/>
  </x:conditionalFormatting>
  <x:conditionalFormatting sqref="L4:L9">
    <x:cfRule type="containsText" dxfId="23" priority="9" operator="containsText" text="阻断"/>
    <x:cfRule type="containsText" dxfId="24" priority="10" operator="containsText" text="高"/>
    <x:cfRule type="containsText" dxfId="25" priority="11" operator="containsText" text="中"/>
  </x:conditionalFormatting>
  <x:conditionalFormatting sqref="O4:O9">
    <x:cfRule type="containsText" dxfId="26" priority="12" operator="containsText" text="已完成"/>
    <x:cfRule type="containsText" dxfId="27" priority="13" operator="containsText" text="待确认"/>
  </x:conditionalFormatting>
  <x:conditionalFormatting sqref="P4:P9">
    <x:cfRule type="containsText" dxfId="28" priority="14" operator="containsText" text="通过"/>
    <x:cfRule type="containsText" dxfId="29" priority="15" operator="containsText" text="不通过"/>
  </x:conditionalFormatting>
  <x:dataValidations count="7">
    <x:dataValidation type="list" sqref="D4:D9">
      <x:formula1>"P0,P1,P2,P3"</x:formula1>
    </x:dataValidation>
    <x:dataValidation type="list" sqref="E4:E9">
      <x:formula1>"功能,流程,校验,权限,安全,异常"</x:formula1>
    </x:dataValidation>
    <x:dataValidation type="list" sqref="J4:J9">
      <x:formula1>"未执行,通过,失败,阻塞,不适用"</x:formula1>
    </x:dataValidation>
    <x:dataValidation type="list" sqref="K4:K9">
      <x:formula1>"是,否"</x:formula1>
    </x:dataValidation>
    <x:dataValidation type="list" sqref="L4:L9">
      <x:formula1>"阻断,高,中,低,轻微"</x:formula1>
    </x:dataValidation>
    <x:dataValidation type="list" sqref="O4:O9">
      <x:formula1>"已完成,待确认,暂不修复"</x:formula1>
    </x:dataValidation>
    <x:dataValidation type="list" sqref="P4:P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0a37dd683441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诊断测试人工测试用例｜创建与重测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创建与重测：4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119" customHeight="1">
      <x:c r="A4" s="49" t="str">
        <x:v>DIAG-CREATE-001</x:v>
      </x:c>
      <x:c r="B4" s="49" t="str">
        <x:v>创建与重测</x:v>
      </x:c>
      <x:c r="C4" s="49" t="str">
        <x:v>免费卷创建后冻结结构且未交卷不增加诊断次数</x:v>
      </x:c>
      <x:c r="D4" s="49" t="str">
        <x:v>P0</x:v>
      </x:c>
      <x:c r="E4" s="49" t="str">
        <x:v>流程</x:v>
      </x:c>
      <x:c r="F4" s="47" t="str">
        <x:v>学生无进行中测试；目标免费卷已上线</x:v>
      </x:c>
      <x:c r="G4" s="47" t="str">
        <x:v>操作前个人中心诊断次数D；历史次数H</x:v>
      </x:c>
      <x:c r="H4" s="47" t="str">
        <x:v>1. 进入个人中心记录目标考试D，再到年份卡记录H
2. 选择免费卷并成功开始
3. 核对进入第一分段，记录年份、分段顺序、题量和时长
4. 作答部分题目后保存并暂停返回
5. 回到年份卡和个人中心刷新并重新记录H、D
6. 继续测试并核对结构与开始时一致
7. 完成全部分段并正式交卷，再返回刷新H、D</x:v>
      </x:c>
      <x:c r="I4" s="47" t="str">
        <x:v>创建后年份变为进行中并冻结本次结构；暂停仍是同一测试且H、D保持不变；正式交卷后H+1、D+1。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102" customHeight="1">
      <x:c r="A5" s="52" t="str">
        <x:v>DIAG-CREATE-002</x:v>
      </x:c>
      <x:c r="B5" s="52" t="str">
        <x:v>创建与重测</x:v>
      </x:c>
      <x:c r="C5" s="52" t="str">
        <x:v>重新测试创建空白记录并永久保留旧成绩</x:v>
      </x:c>
      <x:c r="D5" s="52" t="str">
        <x:v>P0</x:v>
      </x:c>
      <x:c r="E5" s="52" t="str">
        <x:v>流程</x:v>
      </x:c>
      <x:c r="F5" s="51" t="str">
        <x:v>学生已完成目标卷；试卷仍上线且当前资格有效</x:v>
      </x:c>
      <x:c r="G5" s="51" t="str">
        <x:v>历史基线H；旧成绩S1</x:v>
      </x:c>
      <x:c r="H5" s="51" t="str">
        <x:v>1. 打开目标年份历史记录并记录H和S1
2. 关闭历史并选择重新测试
3. 核对进入空白的新测试且旧答案未带入
4. 完成新测试并正式交卷得到S2
5. 返回历史刷新，核对两次记录和顺序
6. 重新登录后再次查看历史</x:v>
      </x:c>
      <x:c r="I5" s="51" t="str">
        <x:v>重测形成独立空白测试；正式交卷后历史为H+1，S1和S2均保留且新记录在前；刷新和重新登录不丢失。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85" customHeight="1">
      <x:c r="A6" s="49" t="str">
        <x:v>DIAG-CREATE-003</x:v>
      </x:c>
      <x:c r="B6" s="49" t="str">
        <x:v>创建与重测</x:v>
      </x:c>
      <x:c r="C6" s="49" t="str">
        <x:v>旧页面上的开始或重测按最新资格拒绝</x:v>
      </x:c>
      <x:c r="D6" s="49" t="str">
        <x:v>P0</x:v>
      </x:c>
      <x:c r="E6" s="49" t="str">
        <x:v>异常</x:v>
      </x:c>
      <x:c r="F6" s="47" t="str">
        <x:v>学生已停留在可开始或重测页面；管理员可下线试卷或改为会员卷</x:v>
      </x:c>
      <x:c r="G6" s="47" t="str">
        <x:v>场景A：下线；场景B：免费改会员且学生无会员</x:v>
      </x:c>
      <x:c r="H6" s="47" t="str">
        <x:v>1. 学生打开目标卷并记录诊断次数基线，停留在可确认页面
2. 管理员按场景修改试卷状态或访问级别
3. 学生不刷新页面直接点击开始或重测
4. 核对提示、页面刷新后的年份状态和测试列表
5. 返回个人中心确认没有发生正式创建且诊断次数保持不变</x:v>
      </x:c>
      <x:c r="I6" s="47" t="str">
        <x:v>服务端按最新状态拒绝，不创建测试、不增加次数；页面给出对应提示并刷新为下线或锁定状态。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DIAG-CREATE-004</x:v>
      </x:c>
      <x:c r="B7" s="52" t="str">
        <x:v>创建与重测</x:v>
      </x:c>
      <x:c r="C7" s="52" t="str">
        <x:v>创建响应丢失后重试只恢复同一场测试</x:v>
      </x:c>
      <x:c r="D7" s="52" t="str">
        <x:v>P0</x:v>
      </x:c>
      <x:c r="E7" s="52" t="str">
        <x:v>异常</x:v>
      </x:c>
      <x:c r="F7" s="51" t="str">
        <x:v>可模拟创建请求成功但响应丢失</x:v>
      </x:c>
      <x:c r="G7" s="51" t="str">
        <x:v>同一账号、考试类型和选卷组合</x:v>
      </x:c>
      <x:c r="H7" s="51" t="str">
        <x:v>1. 记录当前考试没有进行中测试
2. 点击开始并在服务端成功后模拟响应丢失
3. 保持原选择再次点击开始或刷新后点击继续
4. 核对进入的测试标识、第一分段和已保存状态
5. 返回首页核对进行中数量</x:v>
      </x:c>
      <x:c r="I7" s="51" t="str">
        <x:v>重试先找到并恢复第一次创建的测试；同一考试类型只有一场进行中，不产生第二份空白记录。</x:v>
      </x:c>
      <x:c r="J7" s="50" t="str">
        <x:v>未执行</x:v>
      </x:c>
      <x:c r="K7" s="50"/>
      <x:c r="L7" s="50"/>
      <x:c r="M7" s="50"/>
      <x:c r="N7" s="50"/>
      <x:c r="O7" s="50"/>
      <x:c r="P7" s="50"/>
    </x:row>
  </x:sheetData>
  <x:mergeCells>
    <x:mergeCell ref="A1:P1"/>
    <x:mergeCell ref="A2:P2"/>
  </x:mergeCells>
  <x:conditionalFormatting sqref="D4:D7">
    <x:cfRule type="containsText" dxfId="30" priority="1" operator="containsText" text="P0"/>
    <x:cfRule type="containsText" dxfId="31" priority="2" operator="containsText" text="P1"/>
  </x:conditionalFormatting>
  <x:conditionalFormatting sqref="J4:J7">
    <x:cfRule type="containsText" dxfId="32" priority="3" operator="containsText" text="通过"/>
    <x:cfRule type="containsText" dxfId="33" priority="4" operator="containsText" text="失败"/>
    <x:cfRule type="containsText" dxfId="34" priority="5" operator="containsText" text="阻塞"/>
    <x:cfRule type="containsText" dxfId="35" priority="6" operator="containsText" text="未执行"/>
  </x:conditionalFormatting>
  <x:conditionalFormatting sqref="K4:K7">
    <x:cfRule type="containsText" dxfId="36" priority="7" operator="containsText" text="是"/>
    <x:cfRule type="containsText" dxfId="37" priority="8" operator="containsText" text="否"/>
  </x:conditionalFormatting>
  <x:conditionalFormatting sqref="L4:L7">
    <x:cfRule type="containsText" dxfId="38" priority="9" operator="containsText" text="阻断"/>
    <x:cfRule type="containsText" dxfId="39" priority="10" operator="containsText" text="高"/>
    <x:cfRule type="containsText" dxfId="40" priority="11" operator="containsText" text="中"/>
  </x:conditionalFormatting>
  <x:conditionalFormatting sqref="O4:O7">
    <x:cfRule type="containsText" dxfId="41" priority="12" operator="containsText" text="已完成"/>
    <x:cfRule type="containsText" dxfId="42" priority="13" operator="containsText" text="待确认"/>
  </x:conditionalFormatting>
  <x:conditionalFormatting sqref="P4:P7">
    <x:cfRule type="containsText" dxfId="43" priority="14" operator="containsText" text="通过"/>
    <x:cfRule type="containsText" dxfId="44" priority="15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"阻断,高,中,低,轻微"</x:formula1>
    </x:dataValidation>
    <x:dataValidation type="list" sqref="O4:O7">
      <x:formula1>"已完成,待确认,暂不修复"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76c016e1843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诊断测试人工测试用例｜暂停与恢复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暂停与恢复：4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102" customHeight="1">
      <x:c r="A4" s="49" t="str">
        <x:v>DIAG-RESUME-001</x:v>
      </x:c>
      <x:c r="B4" s="49" t="str">
        <x:v>暂停与恢复</x:v>
      </x:c>
      <x:c r="C4" s="49" t="str">
        <x:v>主动保存返回后恢复原分段、答案和剩余时间</x:v>
      </x:c>
      <x:c r="D4" s="49" t="str">
        <x:v>P0</x:v>
      </x:c>
      <x:c r="E4" s="49" t="str">
        <x:v>流程</x:v>
      </x:c>
      <x:c r="F4" s="47" t="str">
        <x:v>学生正在任一诊断分段作答</x:v>
      </x:c>
      <x:c r="G4" s="47" t="str">
        <x:v>记录当前分段、已答题和剩余时间T</x:v>
      </x:c>
      <x:c r="H4" s="47" t="str">
        <x:v>1. 在当前分段作答并记录题目答案和T
2. 点击返回诊断中心并确认保存提示
3. 等待保存成功后返回年份卡
4. 点击继续测试
5. 核对原分段、答案和恢复时间
6. 刷新答题页再次核对</x:v>
      </x:c>
      <x:c r="I4" s="47" t="str">
        <x:v>只有暂停保存成功才离开；继续进入同一场测试和原分段，答案保留，剩余时间从冻结值恢复且刷新不重置。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85" customHeight="1">
      <x:c r="A5" s="52" t="str">
        <x:v>DIAG-RESUME-002</x:v>
      </x:c>
      <x:c r="B5" s="52" t="str">
        <x:v>暂停与恢复</x:v>
      </x:c>
      <x:c r="C5" s="52" t="str">
        <x:v>切换后台、最小化或锁屏后暂停并可继续</x:v>
      </x:c>
      <x:c r="D5" s="52" t="str">
        <x:v>P0</x:v>
      </x:c>
      <x:c r="E5" s="52" t="str">
        <x:v>流程</x:v>
      </x:c>
      <x:c r="F5" s="51" t="str">
        <x:v>可在支持的浏览器和设备执行页面隐藏操作</x:v>
      </x:c>
      <x:c r="G5" s="51" t="str">
        <x:v>切换标签页；最小化；设备锁屏</x:v>
      </x:c>
      <x:c r="H5" s="51" t="str">
        <x:v>1. 开始一个分段并记录剩余时间和答案
2. 分别执行测试数据中的页面隐藏操作
3. 返回页面观察暂停或恢复提示
4. 点击继续并核对真实阶段和时间
5. 返回诊断首页后再次继续同一测试</x:v>
      </x:c>
      <x:c r="I5" s="51" t="str">
        <x:v>页面隐藏进入暂停；返回后恢复同一阶段、答案和冻结时间；不得因此创建新测试或延长时长。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85" customHeight="1">
      <x:c r="A6" s="49" t="str">
        <x:v>DIAG-RESUME-003</x:v>
      </x:c>
      <x:c r="B6" s="49" t="str">
        <x:v>暂停与恢复</x:v>
      </x:c>
      <x:c r="C6" s="49" t="str">
        <x:v>异常退出未成功暂停时按原截止时间结算</x:v>
      </x:c>
      <x:c r="D6" s="49" t="str">
        <x:v>P0</x:v>
      </x:c>
      <x:c r="E6" s="49" t="str">
        <x:v>异常</x:v>
      </x:c>
      <x:c r="F6" s="47" t="str">
        <x:v>可阻断暂停请求并关闭浏览器；当前分段剩余时间较短</x:v>
      </x:c>
      <x:c r="G6" s="47" t="str">
        <x:v>剩余时间T；离开时间大于T</x:v>
      </x:c>
      <x:c r="H6" s="47" t="str">
        <x:v>1. 进入当前分段并记录T和已保存答案
2. 阻断暂停请求后直接关闭浏览器
3. 等待超过T再重新登录
4. 从诊断首页点击继续
5. 核对系统恢复的阶段、锁定状态和答案</x:v>
      </x:c>
      <x:c r="I6" s="47" t="str">
        <x:v>未成功暂停时离开时间不能补回；已到时的分段先锁定并进入下一阶段或交卷；已保存答案保留。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DIAG-RESUME-004</x:v>
      </x:c>
      <x:c r="B7" s="52" t="str">
        <x:v>暂停与恢复</x:v>
      </x:c>
      <x:c r="C7" s="52" t="str">
        <x:v>恢复失败时不展示可操作题目且可安全重试</x:v>
      </x:c>
      <x:c r="D7" s="52" t="str">
        <x:v>P0</x:v>
      </x:c>
      <x:c r="E7" s="52" t="str">
        <x:v>异常</x:v>
      </x:c>
      <x:c r="F7" s="51" t="str">
        <x:v>学生有进行中测试；可模拟恢复读取失败后恢复服务</x:v>
      </x:c>
      <x:c r="G7" s="51" t="str">
        <x:v>一次恢复失败后成功</x:v>
      </x:c>
      <x:c r="H7" s="51" t="str">
        <x:v>1. 点击进行中年份的继续测试
2. 模拟恢复失败并观察页面内容
3. 确认页面未开放题目和提交操作
4. 恢复服务并点击重新恢复
5. 核对进入系统确认的真实阶段和剩余时间</x:v>
      </x:c>
      <x:c r="I7" s="51" t="str">
        <x:v>失败时明确提示并提供重试或返回；不显示可编辑题目、不重置答案或时间；重试后恢复原测试。</x:v>
      </x:c>
      <x:c r="J7" s="50" t="str">
        <x:v>未执行</x:v>
      </x:c>
      <x:c r="K7" s="50"/>
      <x:c r="L7" s="50"/>
      <x:c r="M7" s="50"/>
      <x:c r="N7" s="50"/>
      <x:c r="O7" s="50"/>
      <x:c r="P7" s="50"/>
    </x:row>
  </x:sheetData>
  <x:mergeCells>
    <x:mergeCell ref="A1:P1"/>
    <x:mergeCell ref="A2:P2"/>
  </x:mergeCells>
  <x:conditionalFormatting sqref="D4:D7">
    <x:cfRule type="containsText" dxfId="45" priority="1" operator="containsText" text="P0"/>
    <x:cfRule type="containsText" dxfId="46" priority="2" operator="containsText" text="P1"/>
  </x:conditionalFormatting>
  <x:conditionalFormatting sqref="J4:J7">
    <x:cfRule type="containsText" dxfId="47" priority="3" operator="containsText" text="通过"/>
    <x:cfRule type="containsText" dxfId="48" priority="4" operator="containsText" text="失败"/>
    <x:cfRule type="containsText" dxfId="49" priority="5" operator="containsText" text="阻塞"/>
    <x:cfRule type="containsText" dxfId="50" priority="6" operator="containsText" text="未执行"/>
  </x:conditionalFormatting>
  <x:conditionalFormatting sqref="K4:K7">
    <x:cfRule type="containsText" dxfId="51" priority="7" operator="containsText" text="是"/>
    <x:cfRule type="containsText" dxfId="52" priority="8" operator="containsText" text="否"/>
  </x:conditionalFormatting>
  <x:conditionalFormatting sqref="L4:L7">
    <x:cfRule type="containsText" dxfId="53" priority="9" operator="containsText" text="阻断"/>
    <x:cfRule type="containsText" dxfId="54" priority="10" operator="containsText" text="高"/>
    <x:cfRule type="containsText" dxfId="55" priority="11" operator="containsText" text="中"/>
  </x:conditionalFormatting>
  <x:conditionalFormatting sqref="O4:O7">
    <x:cfRule type="containsText" dxfId="56" priority="12" operator="containsText" text="已完成"/>
    <x:cfRule type="containsText" dxfId="57" priority="13" operator="containsText" text="待确认"/>
  </x:conditionalFormatting>
  <x:conditionalFormatting sqref="P4:P7">
    <x:cfRule type="containsText" dxfId="58" priority="14" operator="containsText" text="通过"/>
    <x:cfRule type="containsText" dxfId="59" priority="15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"阻断,高,中,低,轻微"</x:formula1>
    </x:dataValidation>
    <x:dataValidation type="list" sqref="O4:O7">
      <x:formula1>"已完成,待确认,暂不修复"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39914cba3e40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诊断测试人工测试用例｜ESAT分段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ESAT分段：4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102" customHeight="1">
      <x:c r="A4" s="49" t="str">
        <x:v>DIAG-ESAT-001</x:v>
      </x:c>
      <x:c r="B4" s="49" t="str">
        <x:v>ESAT分段</x:v>
      </x:c>
      <x:c r="C4" s="49" t="str">
        <x:v>ESAT三科按顺序完成且前两科后进入180秒休息</x:v>
      </x:c>
      <x:c r="D4" s="49" t="str">
        <x:v>P0</x:v>
      </x:c>
      <x:c r="E4" s="49" t="str">
        <x:v>流程</x:v>
      </x:c>
      <x:c r="F4" s="47" t="str">
        <x:v>已创建合法ESAT三科诊断</x:v>
      </x:c>
      <x:c r="G4" s="47" t="str">
        <x:v>Mathematics 1→Physics→Chemistry</x:v>
      </x:c>
      <x:c r="H4" s="47" t="str">
        <x:v>1. 在第一科作答并主动结束
2. 核对第一科永久锁定并进入180秒休息
3. 等待休息结束进入第二科并完成
4. 核对第二次180秒休息后进入第三科
5. 完成第三科并观察最终交卷流程
6. 尝试通过题号或浏览器返回进入旧科目</x:v>
      </x:c>
      <x:c r="I4" s="47" t="str">
        <x:v>三科严格按冻结顺序；前两科结束后各有180秒休息，第三科后直接最终交卷；已结束科目不能返回修改。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85" customHeight="1">
      <x:c r="A5" s="52" t="str">
        <x:v>DIAG-ESAT-002</x:v>
      </x:c>
      <x:c r="B5" s="52" t="str">
        <x:v>ESAT分段</x:v>
      </x:c>
      <x:c r="C5" s="52" t="str">
        <x:v>跳过休息只推进一次并进入正确下一科</x:v>
      </x:c>
      <x:c r="D5" s="52" t="str">
        <x:v>P0</x:v>
      </x:c>
      <x:c r="E5" s="52" t="str">
        <x:v>异常</x:v>
      </x:c>
      <x:c r="F5" s="51" t="str">
        <x:v>ESAT处于第一或第二次休息阶段</x:v>
      </x:c>
      <x:c r="G5" s="51" t="str">
        <x:v>连续点击跳过；网络慢响应</x:v>
      </x:c>
      <x:c r="H5" s="51" t="str">
        <x:v>1. 记录当前休息所属科目和下一科
2. 连续多次点击跳过休息
3. 等待所有响应结束并核对当前阶段
4. 刷新页面并再次核对
5. 尝试浏览器返回休息页</x:v>
      </x:c>
      <x:c r="I5" s="51" t="str">
        <x:v>休息只结束一次，进入唯一正确的下一科；不得跳过科目、创建重复阶段或重新开放休息。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102" customHeight="1">
      <x:c r="A6" s="49" t="str">
        <x:v>DIAG-ESAT-003</x:v>
      </x:c>
      <x:c r="B6" s="49" t="str">
        <x:v>ESAT分段</x:v>
      </x:c>
      <x:c r="C6" s="49" t="str">
        <x:v>休息暂停后恢复同一休息阶段和剩余秒数</x:v>
      </x:c>
      <x:c r="D6" s="49" t="str">
        <x:v>P0</x:v>
      </x:c>
      <x:c r="E6" s="49" t="str">
        <x:v>流程</x:v>
      </x:c>
      <x:c r="F6" s="47" t="str">
        <x:v>ESAT处于180秒休息阶段</x:v>
      </x:c>
      <x:c r="G6" s="47" t="str">
        <x:v>剩余休息时间R</x:v>
      </x:c>
      <x:c r="H6" s="47" t="str">
        <x:v>1. 等待休息倒计时下降并记录R
2. 保存返回或切换后台使休息暂停
3. 等待一段时间后返回诊断首页
4. 点击继续测试
5. 核对仍在同一次休息且从R附近恢复
6. 跳过或等待结束进入下一科</x:v>
      </x:c>
      <x:c r="I6" s="47" t="str">
        <x:v>休息可暂停并冻结剩余时间；继续时不重置为180秒、不进入错误科目；结束后只推进一次。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DIAG-ESAT-004</x:v>
      </x:c>
      <x:c r="B7" s="52" t="str">
        <x:v>ESAT分段</x:v>
      </x:c>
      <x:c r="C7" s="52" t="str">
        <x:v>倒计时归零自动锁定当前科且刷新回退不可修改</x:v>
      </x:c>
      <x:c r="D7" s="52" t="str">
        <x:v>P0</x:v>
      </x:c>
      <x:c r="E7" s="52" t="str">
        <x:v>权限</x:v>
      </x:c>
      <x:c r="F7" s="51" t="str">
        <x:v>ESAT当前科目剩余时间可调至短时</x:v>
      </x:c>
      <x:c r="G7" s="51" t="str">
        <x:v>含已答和未答题</x:v>
      </x:c>
      <x:c r="H7" s="51" t="str">
        <x:v>1. 在当前科记录答案状态基线，保存部分答案并保留未答题
2. 等待倒计时归零
3. 核对系统锁定并进入休息或最终交卷
4. 使用刷新、浏览器返回和另一个窗口访问原科目
5. 尝试修改已答或补答未答题</x:v>
      </x:c>
      <x:c r="I7" s="51" t="str">
        <x:v>到时后答案按已保存状态永久锁定，未答保持未答；任何刷新、回退或多窗口都不能重新开放。</x:v>
      </x:c>
      <x:c r="J7" s="50" t="str">
        <x:v>未执行</x:v>
      </x:c>
      <x:c r="K7" s="50"/>
      <x:c r="L7" s="50"/>
      <x:c r="M7" s="50"/>
      <x:c r="N7" s="50"/>
      <x:c r="O7" s="50"/>
      <x:c r="P7" s="50"/>
    </x:row>
  </x:sheetData>
  <x:mergeCells>
    <x:mergeCell ref="A1:P1"/>
    <x:mergeCell ref="A2:P2"/>
  </x:mergeCells>
  <x:conditionalFormatting sqref="D4:D7">
    <x:cfRule type="containsText" dxfId="60" priority="1" operator="containsText" text="P0"/>
    <x:cfRule type="containsText" dxfId="61" priority="2" operator="containsText" text="P1"/>
  </x:conditionalFormatting>
  <x:conditionalFormatting sqref="J4:J7">
    <x:cfRule type="containsText" dxfId="62" priority="3" operator="containsText" text="通过"/>
    <x:cfRule type="containsText" dxfId="63" priority="4" operator="containsText" text="失败"/>
    <x:cfRule type="containsText" dxfId="64" priority="5" operator="containsText" text="阻塞"/>
    <x:cfRule type="containsText" dxfId="65" priority="6" operator="containsText" text="未执行"/>
  </x:conditionalFormatting>
  <x:conditionalFormatting sqref="K4:K7">
    <x:cfRule type="containsText" dxfId="66" priority="7" operator="containsText" text="是"/>
    <x:cfRule type="containsText" dxfId="67" priority="8" operator="containsText" text="否"/>
  </x:conditionalFormatting>
  <x:conditionalFormatting sqref="L4:L7">
    <x:cfRule type="containsText" dxfId="68" priority="9" operator="containsText" text="阻断"/>
    <x:cfRule type="containsText" dxfId="69" priority="10" operator="containsText" text="高"/>
    <x:cfRule type="containsText" dxfId="70" priority="11" operator="containsText" text="中"/>
  </x:conditionalFormatting>
  <x:conditionalFormatting sqref="O4:O7">
    <x:cfRule type="containsText" dxfId="71" priority="12" operator="containsText" text="已完成"/>
    <x:cfRule type="containsText" dxfId="72" priority="13" operator="containsText" text="待确认"/>
  </x:conditionalFormatting>
  <x:conditionalFormatting sqref="P4:P7">
    <x:cfRule type="containsText" dxfId="73" priority="14" operator="containsText" text="通过"/>
    <x:cfRule type="containsText" dxfId="74" priority="15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"阻断,高,中,低,轻微"</x:formula1>
    </x:dataValidation>
    <x:dataValidation type="list" sqref="O4:O7">
      <x:formula1>"已完成,待确认,暂不修复"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263d947d6444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诊断测试人工测试用例｜TMUA分段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TMUA分段：3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102" customHeight="1">
      <x:c r="A4" s="49" t="str">
        <x:v>DIAG-TMUA-001</x:v>
      </x:c>
      <x:c r="B4" s="49" t="str">
        <x:v>TMUA分段</x:v>
      </x:c>
      <x:c r="C4" s="49" t="str">
        <x:v>TMUA两卷独立75分钟且Paper 1后直接进入Paper 2</x:v>
      </x:c>
      <x:c r="D4" s="49" t="str">
        <x:v>P0</x:v>
      </x:c>
      <x:c r="E4" s="49" t="str">
        <x:v>流程</x:v>
      </x:c>
      <x:c r="F4" s="47" t="str">
        <x:v>已创建合法TMUA完整双卷</x:v>
      </x:c>
      <x:c r="G4" s="47" t="str">
        <x:v>Paper 1和Paper 2各20题、75分钟</x:v>
      </x:c>
      <x:c r="H4" s="47" t="str">
        <x:v>1. 进入Paper 1并核对题量和75分钟倒计时
2. 作答后主动结束Paper 1
3. 核对Paper 1锁定且直接进入Paper 2，无休息倒计时
4. 核对Paper 2重新拥有独立75分钟和20题
5. 完成Paper 2并进入最终交卷
6. 尝试返回Paper 1</x:v>
      </x:c>
      <x:c r="I4" s="47" t="str">
        <x:v>两卷各20题、独立75分钟；Paper 1后直接开始Paper 2；Paper 1永久锁定，Paper 2结束后才能最终交卷。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85" customHeight="1">
      <x:c r="A5" s="52" t="str">
        <x:v>DIAG-TMUA-002</x:v>
      </x:c>
      <x:c r="B5" s="52" t="str">
        <x:v>TMUA分段</x:v>
      </x:c>
      <x:c r="C5" s="52" t="str">
        <x:v>Paper切换失败后按真实锁定状态恢复</x:v>
      </x:c>
      <x:c r="D5" s="52" t="str">
        <x:v>P0</x:v>
      </x:c>
      <x:c r="E5" s="52" t="str">
        <x:v>异常</x:v>
      </x:c>
      <x:c r="F5" s="51" t="str">
        <x:v>可在Paper 1结束切换时模拟失败</x:v>
      </x:c>
      <x:c r="G5" s="51" t="str">
        <x:v>场景A：Paper 1未锁定；场景B：已锁定但页面未收到结果</x:v>
      </x:c>
      <x:c r="H5" s="51" t="str">
        <x:v>1. 分别准备两个场景并记录Paper 1答案与锁定状态基线
2. 结束Paper 1并在切换节点模拟网络失败
3. 刷新或点击恢复测试
4. 核对当前Paper、锁定状态和答案
5. 继续完成整场并正式交卷后查看历史</x:v>
      </x:c>
      <x:c r="I5" s="51" t="str">
        <x:v>Paper 1未锁定则恢复Paper 1；已锁定则进入Paper 2；不得跳过Paper 2、新建测试或重复保存，原答案保持不变。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85" customHeight="1">
      <x:c r="A6" s="49" t="str">
        <x:v>DIAG-TMUA-003</x:v>
      </x:c>
      <x:c r="B6" s="49" t="str">
        <x:v>TMUA分段</x:v>
      </x:c>
      <x:c r="C6" s="49" t="str">
        <x:v>TMUA倒计时归零依次锁定且不能跳过Paper 2</x:v>
      </x:c>
      <x:c r="D6" s="49" t="str">
        <x:v>P0</x:v>
      </x:c>
      <x:c r="E6" s="49" t="str">
        <x:v>权限</x:v>
      </x:c>
      <x:c r="F6" s="47" t="str">
        <x:v>可将两卷剩余时间调短</x:v>
      </x:c>
      <x:c r="G6" s="47" t="str">
        <x:v>Paper 1到时；Paper 2到时</x:v>
      </x:c>
      <x:c r="H6" s="47" t="str">
        <x:v>1. 在Paper 1保留部分未答并等待到时
2. 核对锁定并进入Paper 2
3. 在Paper 2同样等待到时
4. 核对进入最终交卷
5. 使用刷新和返回尝试修改两卷答案</x:v>
      </x:c>
      <x:c r="I6" s="47" t="str">
        <x:v>每卷到时独立锁定，未答保持未答；必须经历Paper 2后才能交卷；两卷均不能通过回退重新开放。</x:v>
      </x:c>
      <x:c r="J6" s="50" t="str">
        <x:v>未执行</x:v>
      </x:c>
      <x:c r="K6" s="50"/>
      <x:c r="L6" s="50"/>
      <x:c r="M6" s="50"/>
      <x:c r="N6" s="50"/>
      <x:c r="O6" s="50"/>
      <x:c r="P6" s="50"/>
    </x:row>
  </x:sheetData>
  <x:mergeCells>
    <x:mergeCell ref="A1:P1"/>
    <x:mergeCell ref="A2:P2"/>
  </x:mergeCells>
  <x:conditionalFormatting sqref="D4:D6">
    <x:cfRule type="containsText" dxfId="75" priority="1" operator="containsText" text="P0"/>
    <x:cfRule type="containsText" dxfId="76" priority="2" operator="containsText" text="P1"/>
  </x:conditionalFormatting>
  <x:conditionalFormatting sqref="J4:J6">
    <x:cfRule type="containsText" dxfId="77" priority="3" operator="containsText" text="通过"/>
    <x:cfRule type="containsText" dxfId="78" priority="4" operator="containsText" text="失败"/>
    <x:cfRule type="containsText" dxfId="79" priority="5" operator="containsText" text="阻塞"/>
    <x:cfRule type="containsText" dxfId="80" priority="6" operator="containsText" text="未执行"/>
  </x:conditionalFormatting>
  <x:conditionalFormatting sqref="K4:K6">
    <x:cfRule type="containsText" dxfId="81" priority="7" operator="containsText" text="是"/>
    <x:cfRule type="containsText" dxfId="82" priority="8" operator="containsText" text="否"/>
  </x:conditionalFormatting>
  <x:conditionalFormatting sqref="L4:L6">
    <x:cfRule type="containsText" dxfId="83" priority="9" operator="containsText" text="阻断"/>
    <x:cfRule type="containsText" dxfId="84" priority="10" operator="containsText" text="高"/>
    <x:cfRule type="containsText" dxfId="85" priority="11" operator="containsText" text="中"/>
  </x:conditionalFormatting>
  <x:conditionalFormatting sqref="O4:O6">
    <x:cfRule type="containsText" dxfId="86" priority="12" operator="containsText" text="已完成"/>
    <x:cfRule type="containsText" dxfId="87" priority="13" operator="containsText" text="待确认"/>
  </x:conditionalFormatting>
  <x:conditionalFormatting sqref="P4:P6">
    <x:cfRule type="containsText" dxfId="88" priority="14" operator="containsText" text="通过"/>
    <x:cfRule type="containsText" dxfId="89" priority="15" operator="containsText" text="不通过"/>
  </x:conditionalFormatting>
  <x:dataValidations count="7">
    <x:dataValidation type="list" sqref="D4:D6">
      <x:formula1>"P0,P1,P2,P3"</x:formula1>
    </x:dataValidation>
    <x:dataValidation type="list" sqref="E4:E6">
      <x:formula1>"功能,流程,校验,权限,安全,异常"</x:formula1>
    </x:dataValidation>
    <x:dataValidation type="list" sqref="J4:J6">
      <x:formula1>"未执行,通过,失败,阻塞,不适用"</x:formula1>
    </x:dataValidation>
    <x:dataValidation type="list" sqref="K4:K6">
      <x:formula1>"是,否"</x:formula1>
    </x:dataValidation>
    <x:dataValidation type="list" sqref="L4:L6">
      <x:formula1>"阻断,高,中,低,轻微"</x:formula1>
    </x:dataValidation>
    <x:dataValidation type="list" sqref="O4:O6">
      <x:formula1>"已完成,待确认,暂不修复"</x:formula1>
    </x:dataValidation>
    <x:dataValidation type="list" sqref="P4:P6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268b6fb5142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诊断测试人工测试用例｜交卷与同步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交卷与同步：4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119" customHeight="1">
      <x:c r="A4" s="49" t="str">
        <x:v>DIAG-SUBMIT-001</x:v>
      </x:c>
      <x:c r="B4" s="49" t="str">
        <x:v>交卷与同步</x:v>
      </x:c>
      <x:c r="C4" s="49" t="str">
        <x:v>正式交卷后历史和个人中心诊断次数精确增加一次</x:v>
      </x:c>
      <x:c r="D4" s="49" t="str">
        <x:v>P0</x:v>
      </x:c>
      <x:c r="E4" s="49" t="str">
        <x:v>流程</x:v>
      </x:c>
      <x:c r="F4" s="47" t="str">
        <x:v>学生无进行中测试；目标卷可完成；个人中心可查看统计</x:v>
      </x:c>
      <x:c r="G4" s="47" t="str">
        <x:v>操作前历史H、诊断次数D、另一考试次数D2</x:v>
      </x:c>
      <x:c r="H4" s="47" t="str">
        <x:v>1. 在年份卡和个人中心记录H、D、D2
2. 创建测试并完成部分分段后暂停返回
3. 刷新年份卡和个人中心，核对H、D、D2仍为基线
4. 继续同一测试并完成全部分段正式交卷
5. 在报告仍生成中时返回年份卡和个人中心刷新
6. 核对历史、次数、进行中占用和另一考试
7. 重新登录后再次核对</x:v>
      </x:c>
      <x:c r="I4" s="47" t="str">
        <x:v>暂停或全部分段完成但未成功交卷时统计不变；正式交卷后H+1、D+1，D2不变，进行中占用释放；报告状态不影响次数，刷新和重登录后持久。</x:v>
      </x:c>
      <x:c r="J4" s="50" t="str">
        <x:v>未执行</x:v>
      </x:c>
      <x:c r="K4" s="50"/>
      <x:c r="L4" s="50"/>
      <x:c r="M4" s="50"/>
      <x:c r="N4" s="50"/>
      <x:c r="O4" s="50"/>
      <x:c r="P4" s="50"/>
    </x:row>
    <x:row r="5" ht="102" customHeight="1">
      <x:c r="A5" s="52" t="str">
        <x:v>DIAG-SUBMIT-002</x:v>
      </x:c>
      <x:c r="B5" s="52" t="str">
        <x:v>交卷与同步</x:v>
      </x:c>
      <x:c r="C5" s="52" t="str">
        <x:v>交卷响应丢失、重复点击和多窗口只产生一个完成结果</x:v>
      </x:c>
      <x:c r="D5" s="52" t="str">
        <x:v>P0</x:v>
      </x:c>
      <x:c r="E5" s="52" t="str">
        <x:v>异常</x:v>
      </x:c>
      <x:c r="F5" s="51" t="str">
        <x:v>测试已到最终交卷；可模拟响应丢失并打开两个窗口</x:v>
      </x:c>
      <x:c r="G5" s="51" t="str">
        <x:v>历史H、诊断次数D、报告任务R</x:v>
      </x:c>
      <x:c r="H5" s="51" t="str">
        <x:v>1. 记录H、D和当前报告任务数R
2. 在两个窗口对同一测试执行最终交卷并模拟首个成功响应丢失
3. 重复点击或重试提交
4. 返回历史和个人中心刷新
5. 打开分析进度并核对任务
6. 再次刷新和重新登录</x:v>
      </x:c>
      <x:c r="I5" s="51" t="str">
        <x:v>只形成一条完成记录、H+1、D+1和一个报告任务R+1；所有重试返回同一完成结果，不重复计数。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102" customHeight="1">
      <x:c r="A6" s="49" t="str">
        <x:v>DIAG-SUBMIT-003</x:v>
      </x:c>
      <x:c r="B6" s="49" t="str">
        <x:v>交卷与同步</x:v>
      </x:c>
      <x:c r="C6" s="49" t="str">
        <x:v>交卷明确失败时保留锁定答卷并可重试</x:v>
      </x:c>
      <x:c r="D6" s="49" t="str">
        <x:v>P0</x:v>
      </x:c>
      <x:c r="E6" s="49" t="str">
        <x:v>异常</x:v>
      </x:c>
      <x:c r="F6" s="47" t="str">
        <x:v>全部分段已锁定；可模拟交卷失败后恢复</x:v>
      </x:c>
      <x:c r="G6" s="47" t="str">
        <x:v>历史H、诊断次数D</x:v>
      </x:c>
      <x:c r="H6" s="47" t="str">
        <x:v>1. 记录H、D并完成全部分段
2. 在最终交卷时模拟明确失败
3. 核对错误提示并尝试返回题目修改
4. 恢复服务后从原测试重试交卷
5. 返回历史和个人中心刷新
6. 核对最终记录和次数</x:v>
      </x:c>
      <x:c r="I6" s="47" t="str">
        <x:v>失败时H、D不增加，全部锁定答案仍保留且不能修改；重试成功后只增加一次并进入报告流程。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DIAG-SUBMIT-004</x:v>
      </x:c>
      <x:c r="B7" s="52" t="str">
        <x:v>交卷与同步</x:v>
      </x:c>
      <x:c r="C7" s="52" t="str">
        <x:v>交卷释放本考试占用并允许开始其他诊断</x:v>
      </x:c>
      <x:c r="D7" s="52" t="str">
        <x:v>P0</x:v>
      </x:c>
      <x:c r="E7" s="52" t="str">
        <x:v>流程</x:v>
      </x:c>
      <x:c r="F7" s="51" t="str">
        <x:v>当前考试有进行中测试，另有可用年份或组合</x:v>
      </x:c>
      <x:c r="G7" s="51" t="str">
        <x:v>同考试另一年份；另一考试年份</x:v>
      </x:c>
      <x:c r="H7" s="51" t="str">
        <x:v>1. 在交卷前点击同考试其他年份并核对继续原测试提示
2. 返回原测试完成最终交卷
3. 回到诊断首页点击同考试其他年份
4. 确认可以按正常选卷流程创建新测试
5. 切换另一考试并核对原考试完成状态不影响选择</x:v>
      </x:c>
      <x:c r="I7" s="51" t="str">
        <x:v>交卷前同考试互斥；交卷成功后占用立即释放，可开始或重测同考试其他卷；跨考试始终独立。</x:v>
      </x:c>
      <x:c r="J7" s="50" t="str">
        <x:v>未执行</x:v>
      </x:c>
      <x:c r="K7" s="50"/>
      <x:c r="L7" s="50"/>
      <x:c r="M7" s="50"/>
      <x:c r="N7" s="50"/>
      <x:c r="O7" s="50"/>
      <x:c r="P7" s="50"/>
    </x:row>
  </x:sheetData>
  <x:mergeCells>
    <x:mergeCell ref="A1:P1"/>
    <x:mergeCell ref="A2:P2"/>
  </x:mergeCells>
  <x:conditionalFormatting sqref="D4:D7">
    <x:cfRule type="containsText" dxfId="90" priority="1" operator="containsText" text="P0"/>
    <x:cfRule type="containsText" dxfId="91" priority="2" operator="containsText" text="P1"/>
  </x:conditionalFormatting>
  <x:conditionalFormatting sqref="J4:J7">
    <x:cfRule type="containsText" dxfId="92" priority="3" operator="containsText" text="通过"/>
    <x:cfRule type="containsText" dxfId="93" priority="4" operator="containsText" text="失败"/>
    <x:cfRule type="containsText" dxfId="94" priority="5" operator="containsText" text="阻塞"/>
    <x:cfRule type="containsText" dxfId="95" priority="6" operator="containsText" text="未执行"/>
  </x:conditionalFormatting>
  <x:conditionalFormatting sqref="K4:K7">
    <x:cfRule type="containsText" dxfId="96" priority="7" operator="containsText" text="是"/>
    <x:cfRule type="containsText" dxfId="97" priority="8" operator="containsText" text="否"/>
  </x:conditionalFormatting>
  <x:conditionalFormatting sqref="L4:L7">
    <x:cfRule type="containsText" dxfId="98" priority="9" operator="containsText" text="阻断"/>
    <x:cfRule type="containsText" dxfId="99" priority="10" operator="containsText" text="高"/>
    <x:cfRule type="containsText" dxfId="100" priority="11" operator="containsText" text="中"/>
  </x:conditionalFormatting>
  <x:conditionalFormatting sqref="O4:O7">
    <x:cfRule type="containsText" dxfId="101" priority="12" operator="containsText" text="已完成"/>
    <x:cfRule type="containsText" dxfId="102" priority="13" operator="containsText" text="待确认"/>
  </x:conditionalFormatting>
  <x:conditionalFormatting sqref="P4:P7">
    <x:cfRule type="containsText" dxfId="103" priority="14" operator="containsText" text="通过"/>
    <x:cfRule type="containsText" dxfId="104" priority="15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"阻断,高,中,低,轻微"</x:formula1>
    </x:dataValidation>
    <x:dataValidation type="list" sqref="O4:O7">
      <x:formula1>"已完成,待确认,暂不修复"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e05d27c1634c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诊断测试人工测试用例｜报告与历史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报告与历史：4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85" customHeight="1">
      <x:c r="A4" s="49" t="str">
        <x:v>DIAG-REPORT-001</x:v>
      </x:c>
      <x:c r="B4" s="49" t="str">
        <x:v>报告与历史</x:v>
      </x:c>
      <x:c r="C4" s="49" t="str">
        <x:v>报告待处理、生成中和完成状态使用真实任务进度</x:v>
      </x:c>
      <x:c r="D4" s="49" t="str">
        <x:v>P0</x:v>
      </x:c>
      <x:c r="E4" s="49" t="str">
        <x:v>流程</x:v>
      </x:c>
      <x:c r="F4" s="47" t="str">
        <x:v>已正式交卷；可控制报告任务从待处理到完成</x:v>
      </x:c>
      <x:c r="G4" s="47" t="str">
        <x:v>ESAT和TMUA各一条完成记录</x:v>
      </x:c>
      <x:c r="H4" s="47" t="str">
        <x:v>1. 交卷后保持分析弹窗打开并记录待处理状态
2. 推进任务至生成中并核对进度未提前到100%
3. 关闭弹窗后从历史入口查看同一任务进度
4. 推进任务完成并打开报告
5. 分别核对ESAT和TMUA报告去向</x:v>
      </x:c>
      <x:c r="I4" s="47" t="str">
        <x:v>状态和进度来自真实任务；后台未完成前不能到100%；关闭弹窗后任务保持生成且诊断次数不变；完成后进入对应考试报告页且不串页。</x:v>
      </x:c>
      <x:c r="J4" s="50" t="str">
        <x:v>未执行</x:v>
      </x:c>
      <x:c r="K4" s="50"/>
      <x:c r="L4" s="50"/>
      <x:c r="M4" s="50"/>
      <x:c r="N4" s="50" t="str">
        <x:v>当前实现待对齐：交卷弹窗与历史进度口径需统一或明确区分。</x:v>
      </x:c>
      <x:c r="O4" s="50"/>
      <x:c r="P4" s="50"/>
    </x:row>
    <x:row r="5" ht="85" customHeight="1">
      <x:c r="A5" s="52" t="str">
        <x:v>DIAG-REPORT-002</x:v>
      </x:c>
      <x:c r="B5" s="52" t="str">
        <x:v>报告与历史</x:v>
      </x:c>
      <x:c r="C5" s="52" t="str">
        <x:v>报告失败后重新分析不改变成绩和诊断次数</x:v>
      </x:c>
      <x:c r="D5" s="52" t="str">
        <x:v>P0</x:v>
      </x:c>
      <x:c r="E5" s="52" t="str">
        <x:v>异常</x:v>
      </x:c>
      <x:c r="F5" s="51" t="str">
        <x:v>一条已完成诊断的报告任务失败</x:v>
      </x:c>
      <x:c r="G5" s="51" t="str">
        <x:v>成绩S、历史H、诊断次数D、交卷时间T</x:v>
      </x:c>
      <x:c r="H5" s="51" t="str">
        <x:v>1. 记录失败记录的S、H、D、T
2. 从分析弹窗或历史点击重新分析
3. 核对任务重新进入处理状态
4. 返回个人中心和历史刷新
5. 等待报告完成并再次查看原记录</x:v>
      </x:c>
      <x:c r="I5" s="51" t="str">
        <x:v>重新分析只重启报告任务；S、H、D、T保持不变，不重复交卷或新增次数；完成报告仍绑定原答卷。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85" customHeight="1">
      <x:c r="A6" s="49" t="str">
        <x:v>DIAG-REPORT-003</x:v>
      </x:c>
      <x:c r="B6" s="49" t="str">
        <x:v>报告与历史</x:v>
      </x:c>
      <x:c r="C6" s="49" t="str">
        <x:v>历史记录分页、倒序和字段展示完整</x:v>
      </x:c>
      <x:c r="D6" s="49" t="str">
        <x:v>P0</x:v>
      </x:c>
      <x:c r="E6" s="49" t="str">
        <x:v>校验</x:v>
      </x:c>
      <x:c r="F6" s="47" t="str">
        <x:v>目标考试和年份有超过一页的多次已提交记录</x:v>
      </x:c>
      <x:c r="G6" s="47" t="str">
        <x:v>不同组合、成绩、用时和报告状态</x:v>
      </x:c>
      <x:c r="H6" s="47" t="str">
        <x:v>1. 打开目标年份的历史入口并记录总次数
2. 核对第一页按交卷时间从近到远
3. 检查每条记录的标识、次数、时间、正确题数、总题数、有效用时和报告状态
4. 翻页并核对无重复或遗漏
5. 根据报告状态点击查看、进度或重新分析操作</x:v>
      </x:c>
      <x:c r="I6" s="47" t="str">
        <x:v>历史只汇总当前考试和年份的已提交诊断，倒序分页；字段完整、总次数保持不变且无重复遗漏，操作与各自报告状态一致。</x:v>
      </x:c>
      <x:c r="J6" s="50" t="str">
        <x:v>未执行</x:v>
      </x:c>
      <x:c r="K6" s="50"/>
      <x:c r="L6" s="50"/>
      <x:c r="M6" s="50"/>
      <x:c r="N6" s="50"/>
      <x:c r="O6" s="50"/>
      <x:c r="P6" s="50"/>
    </x:row>
    <x:row r="7" ht="85" customHeight="1">
      <x:c r="A7" s="52" t="str">
        <x:v>DIAG-REPORT-004</x:v>
      </x:c>
      <x:c r="B7" s="52" t="str">
        <x:v>报告与历史</x:v>
      </x:c>
      <x:c r="C7" s="52" t="str">
        <x:v>会员到期或试卷下线后历史和已生成报告仍可访问</x:v>
      </x:c>
      <x:c r="D7" s="52" t="str">
        <x:v>P0</x:v>
      </x:c>
      <x:c r="E7" s="52" t="str">
        <x:v>权限</x:v>
      </x:c>
      <x:c r="F7" s="51" t="str">
        <x:v>学生已有完成记录和报告；可使会员到期并将试卷归档</x:v>
      </x:c>
      <x:c r="G7" s="51" t="str">
        <x:v>会员到期；试卷归档；访问级别改变</x:v>
      </x:c>
      <x:c r="H7" s="51" t="str">
        <x:v>1. 在变更前打开并记录历史与报告
2. 使会员到期并将试卷归档或改变访问级别
3. 学生刷新诊断首页并打开保留的年份
4. 进入历史并查看原报告
5. 尝试重新测试</x:v>
      </x:c>
      <x:c r="I7" s="51" t="str">
        <x:v>历史入口和已生成报告持续可访问；归档后年份明确已下线且不能重测；会员到期只影响新的会员卷测试，不删除历史。</x:v>
      </x:c>
      <x:c r="J7" s="50" t="str">
        <x:v>未执行</x:v>
      </x:c>
      <x:c r="K7" s="50"/>
      <x:c r="L7" s="50"/>
      <x:c r="M7" s="50"/>
      <x:c r="N7" s="50"/>
      <x:c r="O7" s="50"/>
      <x:c r="P7" s="50"/>
    </x:row>
  </x:sheetData>
  <x:mergeCells>
    <x:mergeCell ref="A1:P1"/>
    <x:mergeCell ref="A2:P2"/>
  </x:mergeCells>
  <x:conditionalFormatting sqref="D4:D7">
    <x:cfRule type="containsText" dxfId="105" priority="1" operator="containsText" text="P0"/>
    <x:cfRule type="containsText" dxfId="106" priority="2" operator="containsText" text="P1"/>
  </x:conditionalFormatting>
  <x:conditionalFormatting sqref="J4:J7">
    <x:cfRule type="containsText" dxfId="107" priority="3" operator="containsText" text="通过"/>
    <x:cfRule type="containsText" dxfId="108" priority="4" operator="containsText" text="失败"/>
    <x:cfRule type="containsText" dxfId="109" priority="5" operator="containsText" text="阻塞"/>
    <x:cfRule type="containsText" dxfId="110" priority="6" operator="containsText" text="未执行"/>
  </x:conditionalFormatting>
  <x:conditionalFormatting sqref="K4:K7">
    <x:cfRule type="containsText" dxfId="111" priority="7" operator="containsText" text="是"/>
    <x:cfRule type="containsText" dxfId="112" priority="8" operator="containsText" text="否"/>
  </x:conditionalFormatting>
  <x:conditionalFormatting sqref="L4:L7">
    <x:cfRule type="containsText" dxfId="113" priority="9" operator="containsText" text="阻断"/>
    <x:cfRule type="containsText" dxfId="114" priority="10" operator="containsText" text="高"/>
    <x:cfRule type="containsText" dxfId="115" priority="11" operator="containsText" text="中"/>
  </x:conditionalFormatting>
  <x:conditionalFormatting sqref="O4:O7">
    <x:cfRule type="containsText" dxfId="116" priority="12" operator="containsText" text="已完成"/>
    <x:cfRule type="containsText" dxfId="117" priority="13" operator="containsText" text="待确认"/>
  </x:conditionalFormatting>
  <x:conditionalFormatting sqref="P4:P7">
    <x:cfRule type="containsText" dxfId="118" priority="14" operator="containsText" text="通过"/>
    <x:cfRule type="containsText" dxfId="119" priority="15" operator="containsText" text="不通过"/>
  </x:conditionalFormatting>
  <x:dataValidations count="7">
    <x:dataValidation type="list" sqref="D4:D7">
      <x:formula1>"P0,P1,P2,P3"</x:formula1>
    </x:dataValidation>
    <x:dataValidation type="list" sqref="E4:E7">
      <x:formula1>"功能,流程,校验,权限,安全,异常"</x:formula1>
    </x:dataValidation>
    <x:dataValidation type="list" sqref="J4:J7">
      <x:formula1>"未执行,通过,失败,阻塞,不适用"</x:formula1>
    </x:dataValidation>
    <x:dataValidation type="list" sqref="K4:K7">
      <x:formula1>"是,否"</x:formula1>
    </x:dataValidation>
    <x:dataValidation type="list" sqref="L4:L7">
      <x:formula1>"阻断,高,中,低,轻微"</x:formula1>
    </x:dataValidation>
    <x:dataValidation type="list" sqref="O4:O7">
      <x:formula1>"已完成,待确认,暂不修复"</x:formula1>
    </x:dataValidation>
    <x:dataValidation type="list" sqref="P4:P7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a301cb9c3147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0" hidden="0" customWidth="1"/>
    <x:col min="5" max="5" width="12" hidden="0" customWidth="1"/>
    <x:col min="6" max="6" width="34" hidden="0" customWidth="1"/>
    <x:col min="7" max="7" width="34" hidden="0" customWidth="1"/>
    <x:col min="8" max="8" width="54" hidden="0" customWidth="1"/>
    <x:col min="9" max="9" width="56" hidden="0" customWidth="1"/>
    <x:col min="10" max="10" width="12" hidden="0" customWidth="1"/>
    <x:col min="11" max="11" width="12" hidden="0" customWidth="1"/>
    <x:col min="12" max="12" width="12" hidden="0" customWidth="1"/>
    <x:col min="13" max="13" width="30" hidden="0" customWidth="1"/>
    <x:col min="14" max="14" width="26" hidden="0" customWidth="1"/>
    <x:col min="15" max="15" width="14" hidden="0" customWidth="1"/>
    <x:col min="16" max="16" width="14" hidden="0" customWidth="1"/>
  </x:cols>
  <x:sheetData>
    <x:row r="1" ht="34" customHeight="1">
      <x:c r="A1" s="37" t="str">
        <x:v>4.8 诊断测试人工测试用例｜后台联动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</x:row>
    <x:row r="2" ht="26" customHeight="1">
      <x:c r="A2" s="7" t="str">
        <x:v>来源：文档/4-需求文档/4.8 诊断测试.md　｜　范围：P0页面操作、状态旅程与可见结果　｜　后台联动：5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用例类型</x:v>
      </x:c>
      <x:c r="F3" s="42" t="str">
        <x:v>前置条件</x:v>
      </x:c>
      <x:c r="G3" s="42" t="str">
        <x:v>测试数据</x:v>
      </x:c>
      <x:c r="H3" s="42" t="str">
        <x:v>操作步骤</x:v>
      </x:c>
      <x:c r="I3" s="42" t="str">
        <x:v>预期结果</x:v>
      </x:c>
      <x:c r="J3" s="42" t="str">
        <x:v>执行状态</x:v>
      </x:c>
      <x:c r="K3" s="42" t="str">
        <x:v>是否通过</x:v>
      </x:c>
      <x:c r="L3" s="42" t="str">
        <x:v>缺陷等级</x:v>
      </x:c>
      <x:c r="M3" s="42" t="str">
        <x:v>实际结果</x:v>
      </x:c>
      <x:c r="N3" s="42" t="str">
        <x:v>备注</x:v>
      </x:c>
      <x:c r="O3" s="42" t="str">
        <x:v>修复情况</x:v>
      </x:c>
      <x:c r="P3" s="42" t="str">
        <x:v>回归情况</x:v>
      </x:c>
    </x:row>
    <x:row r="4" ht="85" customHeight="1">
      <x:c r="A4" s="49" t="str">
        <x:v>DIAG-ADMIN-001</x:v>
      </x:c>
      <x:c r="B4" s="49" t="str">
        <x:v>后台联动</x:v>
      </x:c>
      <x:c r="C4" s="49" t="str">
        <x:v>试卷归档后新用户不可见、进行中可继续、历史可查看</x:v>
      </x:c>
      <x:c r="D4" s="49" t="str">
        <x:v>P0</x:v>
      </x:c>
      <x:c r="E4" s="49" t="str">
        <x:v>权限</x:v>
      </x:c>
      <x:c r="F4" s="47" t="str">
        <x:v>同卷准备无记录、进行中、已完成三名学生；管理员可归档</x:v>
      </x:c>
      <x:c r="G4" s="47" t="str">
        <x:v>三类学生；状态已上线→已归档</x:v>
      </x:c>
      <x:c r="H4" s="47" t="str">
        <x:v>1. 三名学生分别记录归档前入口和状态
2. 管理员将试卷改为已归档
3. 无记录学生刷新并尝试查找该卷
4. 进行中学生刷新并继续完成原测试
5. 已完成学生打开历史和报告并尝试重测</x:v>
      </x:c>
      <x:c r="I4" s="47" t="str">
        <x:v>无记录学生无新入口；进行中年份保留并标识已下线且可继续；历史次数保持不变、报告保留但不可重测。</x:v>
      </x:c>
      <x:c r="J4" s="50" t="str">
        <x:v>未执行</x:v>
      </x:c>
      <x:c r="K4" s="50"/>
      <x:c r="L4" s="50"/>
      <x:c r="M4" s="50"/>
      <x:c r="N4" s="50" t="str">
        <x:v>当前实现待对齐：学生年份卡需补充已下线可见标识。</x:v>
      </x:c>
      <x:c r="O4" s="50"/>
      <x:c r="P4" s="50"/>
    </x:row>
    <x:row r="5" ht="85" customHeight="1">
      <x:c r="A5" s="52" t="str">
        <x:v>DIAG-ADMIN-002</x:v>
      </x:c>
      <x:c r="B5" s="52" t="str">
        <x:v>后台联动</x:v>
      </x:c>
      <x:c r="C5" s="52" t="str">
        <x:v>有学生记录的试卷删除被拒绝并提示归档</x:v>
      </x:c>
      <x:c r="D5" s="52" t="str">
        <x:v>P0</x:v>
      </x:c>
      <x:c r="E5" s="52" t="str">
        <x:v>权限</x:v>
      </x:c>
      <x:c r="F5" s="51" t="str">
        <x:v>分别有进行中或已完成记录的试卷；另有无任何关联记录的草稿卷</x:v>
      </x:c>
      <x:c r="G5" s="51" t="str">
        <x:v>进行中卷；已完成卷；无记录草稿卷</x:v>
      </x:c>
      <x:c r="H5" s="51" t="str">
        <x:v>1. 管理员在真题库定位三类试卷
2. 分别执行删除并记录结果
3. 对有记录试卷按提示改为归档
4. 使用对应学生刷新诊断首页和历史
5. 核对无记录草稿卷已删除</x:v>
      </x:c>
      <x:c r="I5" s="51" t="str">
        <x:v>进行中或完成记录存在时删除被拒绝并提示归档；归档不丢失继续和历史；只有无学生关联记录的卷可删除。</x:v>
      </x:c>
      <x:c r="J5" s="50" t="str">
        <x:v>未执行</x:v>
      </x:c>
      <x:c r="K5" s="50"/>
      <x:c r="L5" s="50"/>
      <x:c r="M5" s="50"/>
      <x:c r="N5" s="50"/>
      <x:c r="O5" s="50"/>
      <x:c r="P5" s="50"/>
    </x:row>
    <x:row r="6" ht="102" customHeight="1">
      <x:c r="A6" s="49" t="str">
        <x:v>DIAG-ADMIN-003</x:v>
      </x:c>
      <x:c r="B6" s="49" t="str">
        <x:v>后台联动</x:v>
      </x:c>
      <x:c r="C6" s="49" t="str">
        <x:v>免费与会员访问级别变更只影响新测试和重测</x:v>
      </x:c>
      <x:c r="D6" s="49" t="str">
        <x:v>P0</x:v>
      </x:c>
      <x:c r="E6" s="49" t="str">
        <x:v>权限</x:v>
      </x:c>
      <x:c r="F6" s="47" t="str">
        <x:v>普通学生分别有进行中、已完成和无记录状态；管理员可修改访问级别</x:v>
      </x:c>
      <x:c r="G6" s="47" t="str">
        <x:v>免费→会员；会员→免费</x:v>
      </x:c>
      <x:c r="H6" s="47" t="str">
        <x:v>1. 各学生记录变更前入口、继续和历史状态
2. 管理员按测试数据修改访问级别
3. 无记录学生刷新并尝试开始
4. 进行中学生继续原测试
5. 已完成学生查看历史并尝试重测
6. 反向修改后再次刷新核对</x:v>
      </x:c>
      <x:c r="I6" s="47" t="str">
        <x:v>变更只控制后续新测试和重测；已有进行中可继续、历史可查看；会员改免费后普通学生可开始，免费改会员后无会员学生锁定。</x:v>
      </x:c>
      <x:c r="J6" s="50" t="str">
        <x:v>未执行</x:v>
      </x:c>
      <x:c r="K6" s="50"/>
      <x:c r="L6" s="50"/>
      <x:c r="M6" s="50"/>
      <x:c r="N6" s="50" t="str">
        <x:v>当前实现待对齐：年份锁定判断应只统计当前已上线且可新建的试卷。</x:v>
      </x:c>
      <x:c r="O6" s="50"/>
      <x:c r="P6" s="50"/>
    </x:row>
    <x:row r="7" ht="85" customHeight="1">
      <x:c r="A7" s="52" t="str">
        <x:v>DIAG-ADMIN-004</x:v>
      </x:c>
      <x:c r="B7" s="52" t="str">
        <x:v>后台联动</x:v>
      </x:c>
      <x:c r="C7" s="52" t="str">
        <x:v>产生作答后结构修改被拒绝并通过新版本上线</x:v>
      </x:c>
      <x:c r="D7" s="52" t="str">
        <x:v>P0</x:v>
      </x:c>
      <x:c r="E7" s="52" t="str">
        <x:v>校验</x:v>
      </x:c>
      <x:c r="F7" s="51" t="str">
        <x:v>旧卷已有学生作答；管理员可创建新版本</x:v>
      </x:c>
      <x:c r="G7" s="51" t="str">
        <x:v>尝试修改考试类型、年份、时长、分段、题目和标题</x:v>
      </x:c>
      <x:c r="H7" s="51" t="str">
        <x:v>1. 管理员记录旧卷结构及关联中的学生测试
2. 尝试直接修改测试数据中的结构字段
3. 核对拒绝提示并创建结构调整后的新试卷版本
4. 将新版本上线并用新学生开始
5. 用旧学生继续测试并查看历史报告</x:v>
      </x:c>
      <x:c r="I7" s="51" t="str">
        <x:v>有作答后关键结构不能直接改；新版本可服务后续新测试；旧进行中和历史继续使用原冻结版本且不被覆盖。</x:v>
      </x:c>
      <x:c r="J7" s="50" t="str">
        <x:v>未执行</x:v>
      </x:c>
      <x:c r="K7" s="50"/>
      <x:c r="L7" s="50"/>
      <x:c r="M7" s="50"/>
      <x:c r="N7" s="50"/>
      <x:c r="O7" s="50"/>
      <x:c r="P7" s="50"/>
    </x:row>
    <x:row r="8" ht="85" customHeight="1">
      <x:c r="A8" s="49" t="str">
        <x:v>DIAG-ADMIN-005</x:v>
      </x:c>
      <x:c r="B8" s="49" t="str">
        <x:v>后台联动</x:v>
      </x:c>
      <x:c r="C8" s="49" t="str">
        <x:v>后台状态更新失败或异常状态不产生学生端假成功</x:v>
      </x:c>
      <x:c r="D8" s="49" t="str">
        <x:v>P0</x:v>
      </x:c>
      <x:c r="E8" s="49" t="str">
        <x:v>异常</x:v>
      </x:c>
      <x:c r="F8" s="47" t="str">
        <x:v>可模拟状态保存失败和提交四种正式状态之外的值</x:v>
      </x:c>
      <x:c r="G8" s="47" t="str">
        <x:v>草稿、审核中、已上线、已归档；异常状态unknown</x:v>
      </x:c>
      <x:c r="H8" s="47" t="str">
        <x:v>1. 管理员记录试卷当前有效状态
2. 模拟状态更新失败并观察管理端
3. 学生刷新并核对仍按原状态展示
4. 尝试提交异常状态值
5. 再用学生核对新建、继续和历史入口</x:v>
      </x:c>
      <x:c r="I8" s="47" t="str">
        <x:v>更新失败不提前显示成功，学生保持原有效状态；异常状态必须被拒绝；若存在历史异常数据，禁止新建但保留可确认的进行中和历史。</x:v>
      </x:c>
      <x:c r="J8" s="50" t="str">
        <x:v>未执行</x:v>
      </x:c>
      <x:c r="K8" s="50"/>
      <x:c r="L8" s="50"/>
      <x:c r="M8" s="50"/>
      <x:c r="N8" s="50" t="str">
        <x:v>当前实现待对齐：服务端需补充与管理端相同的状态白名单校验。</x:v>
      </x:c>
      <x:c r="O8" s="50"/>
      <x:c r="P8" s="50"/>
    </x:row>
  </x:sheetData>
  <x:mergeCells>
    <x:mergeCell ref="A1:P1"/>
    <x:mergeCell ref="A2:P2"/>
  </x:mergeCells>
  <x:conditionalFormatting sqref="D4:D8">
    <x:cfRule type="containsText" dxfId="120" priority="1" operator="containsText" text="P0"/>
    <x:cfRule type="containsText" dxfId="121" priority="2" operator="containsText" text="P1"/>
  </x:conditionalFormatting>
  <x:conditionalFormatting sqref="J4:J8">
    <x:cfRule type="containsText" dxfId="122" priority="3" operator="containsText" text="通过"/>
    <x:cfRule type="containsText" dxfId="123" priority="4" operator="containsText" text="失败"/>
    <x:cfRule type="containsText" dxfId="124" priority="5" operator="containsText" text="阻塞"/>
    <x:cfRule type="containsText" dxfId="125" priority="6" operator="containsText" text="未执行"/>
  </x:conditionalFormatting>
  <x:conditionalFormatting sqref="K4:K8">
    <x:cfRule type="containsText" dxfId="126" priority="7" operator="containsText" text="是"/>
    <x:cfRule type="containsText" dxfId="127" priority="8" operator="containsText" text="否"/>
  </x:conditionalFormatting>
  <x:conditionalFormatting sqref="L4:L8">
    <x:cfRule type="containsText" dxfId="128" priority="9" operator="containsText" text="阻断"/>
    <x:cfRule type="containsText" dxfId="129" priority="10" operator="containsText" text="高"/>
    <x:cfRule type="containsText" dxfId="130" priority="11" operator="containsText" text="中"/>
  </x:conditionalFormatting>
  <x:conditionalFormatting sqref="O4:O8">
    <x:cfRule type="containsText" dxfId="131" priority="12" operator="containsText" text="已完成"/>
    <x:cfRule type="containsText" dxfId="132" priority="13" operator="containsText" text="待确认"/>
  </x:conditionalFormatting>
  <x:conditionalFormatting sqref="P4:P8">
    <x:cfRule type="containsText" dxfId="133" priority="14" operator="containsText" text="通过"/>
    <x:cfRule type="containsText" dxfId="134" priority="15" operator="containsText" text="不通过"/>
  </x:conditionalFormatting>
  <x:dataValidations count="7">
    <x:dataValidation type="list" sqref="D4:D8">
      <x:formula1>"P0,P1,P2,P3"</x:formula1>
    </x:dataValidation>
    <x:dataValidation type="list" sqref="E4:E8">
      <x:formula1>"功能,流程,校验,权限,安全,异常"</x:formula1>
    </x:dataValidation>
    <x:dataValidation type="list" sqref="J4:J8">
      <x:formula1>"未执行,通过,失败,阻塞,不适用"</x:formula1>
    </x:dataValidation>
    <x:dataValidation type="list" sqref="K4:K8">
      <x:formula1>"是,否"</x:formula1>
    </x:dataValidation>
    <x:dataValidation type="list" sqref="L4:L8">
      <x:formula1>"阻断,高,中,低,轻微"</x:formula1>
    </x:dataValidation>
    <x:dataValidation type="list" sqref="O4:O8">
      <x:formula1>"已完成,待确认,暂不修复"</x:formula1>
    </x:dataValidation>
    <x:dataValidation type="list" sqref="P4:P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09a33515f84926"/>
  </x:tableParts>
</x:worksheet>
</file>