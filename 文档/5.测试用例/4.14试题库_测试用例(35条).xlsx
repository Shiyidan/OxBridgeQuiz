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tagrand\ESAT-Project\"/>
    </mc:Choice>
  </mc:AlternateContent>
  <xr:revisionPtr revIDLastSave="0" documentId="13_ncr:1_{9DC3454C-E79B-4D86-947C-493297AD89AC}" xr6:coauthVersionLast="47" xr6:coauthVersionMax="47" xr10:uidLastSave="{00000000-0000-0000-0000-000000000000}"/>
  <bookViews>
    <workbookView xWindow="1140" yWindow="1140" windowWidth="14400" windowHeight="7360" xr2:uid="{00000000-000D-0000-FFFF-FFFF00000000}"/>
  </bookViews>
  <sheets>
    <sheet name="测试说明" sheetId="1" r:id="rId1"/>
    <sheet name="入口与考试范围" sheetId="2" r:id="rId2"/>
    <sheet name="考纲与题量" sheetId="3" r:id="rId3"/>
    <sheet name="开始与额度" sheetId="4" r:id="rId4"/>
    <sheet name="答题与恢复" sheetId="5" r:id="rId5"/>
    <sheet name="交卷与联动" sheetId="6" r:id="rId6"/>
    <sheet name="练习记录与入口" sheetId="7" r:id="rId7"/>
    <sheet name="内容与权限变化" sheetId="8" r:id="rId8"/>
    <sheet name="异常恢复" sheetId="9" r:id="rId9"/>
  </sheets>
  <calcPr calcId="191029" forceFullCalc="1"/>
</workbook>
</file>

<file path=xl/calcChain.xml><?xml version="1.0" encoding="utf-8"?>
<calcChain xmlns="http://schemas.openxmlformats.org/spreadsheetml/2006/main">
  <c r="I17" i="1" l="1"/>
  <c r="H17" i="1"/>
  <c r="G17" i="1"/>
  <c r="F17" i="1"/>
  <c r="E17" i="1"/>
  <c r="D17" i="1"/>
  <c r="C17" i="1"/>
  <c r="B17" i="1"/>
  <c r="I16" i="1"/>
  <c r="H16" i="1"/>
  <c r="G16" i="1"/>
  <c r="F16" i="1"/>
  <c r="E16" i="1"/>
  <c r="D16" i="1"/>
  <c r="C16" i="1"/>
  <c r="B16" i="1"/>
  <c r="I15" i="1"/>
  <c r="H15" i="1"/>
  <c r="G15" i="1"/>
  <c r="F15" i="1"/>
  <c r="E15" i="1"/>
  <c r="D15" i="1"/>
  <c r="C15" i="1"/>
  <c r="B15" i="1"/>
  <c r="I14" i="1"/>
  <c r="H14" i="1"/>
  <c r="G14" i="1"/>
  <c r="F14" i="1"/>
  <c r="E14" i="1"/>
  <c r="D14" i="1"/>
  <c r="C14" i="1"/>
  <c r="B14" i="1"/>
  <c r="I13" i="1"/>
  <c r="H13" i="1"/>
  <c r="G13" i="1"/>
  <c r="F13" i="1"/>
  <c r="E13" i="1"/>
  <c r="D13" i="1"/>
  <c r="C13" i="1"/>
  <c r="B13" i="1"/>
  <c r="I12" i="1"/>
  <c r="H12" i="1"/>
  <c r="G12" i="1"/>
  <c r="F12" i="1"/>
  <c r="E12" i="1"/>
  <c r="D12" i="1"/>
  <c r="C12" i="1"/>
  <c r="B12" i="1"/>
  <c r="I11" i="1"/>
  <c r="H11" i="1"/>
  <c r="G11" i="1"/>
  <c r="F11" i="1"/>
  <c r="E11" i="1"/>
  <c r="D11" i="1"/>
  <c r="C11" i="1"/>
  <c r="B11" i="1"/>
  <c r="I10" i="1"/>
  <c r="H10" i="1"/>
  <c r="G10" i="1"/>
  <c r="F10" i="1"/>
  <c r="E10" i="1"/>
  <c r="D10" i="1"/>
  <c r="C10" i="1"/>
  <c r="B10" i="1"/>
  <c r="B18" i="1" l="1"/>
  <c r="F18" i="1"/>
  <c r="C18" i="1"/>
  <c r="I18" i="1"/>
  <c r="H18" i="1"/>
  <c r="E18" i="1"/>
  <c r="D18" i="1"/>
  <c r="G18" i="1"/>
  <c r="H4" i="1"/>
</calcChain>
</file>

<file path=xl/sharedStrings.xml><?xml version="1.0" encoding="utf-8"?>
<sst xmlns="http://schemas.openxmlformats.org/spreadsheetml/2006/main" count="610" uniqueCount="290">
  <si>
    <t>4.14 试题库人工测试用例</t>
  </si>
  <si>
    <t>本轮人工P0：覆盖学生选考点、题量确认、额度、进行中恢复、交卷、练习记录、错题联动和内容状态变化</t>
  </si>
  <si>
    <t>文档版本</t>
  </si>
  <si>
    <t>当前版（2026-08-10）</t>
  </si>
  <si>
    <t>生成日期</t>
  </si>
  <si>
    <t>用例总数</t>
  </si>
  <si>
    <t>需求来源</t>
  </si>
  <si>
    <t>文档/4-需求文档/4.14 试题库.md</t>
  </si>
  <si>
    <t>默认状态</t>
  </si>
  <si>
    <t>未执行</t>
  </si>
  <si>
    <t>关联规则</t>
  </si>
  <si>
    <t>4.2会员权益、4.6在线答题、4.12练习册、4.1错题本；后台仅作为题目发布/归档前置条件</t>
  </si>
  <si>
    <t>模块覆盖统计</t>
  </si>
  <si>
    <t>模块</t>
  </si>
  <si>
    <t>用例数</t>
  </si>
  <si>
    <t>P0</t>
  </si>
  <si>
    <t>是否通过-是</t>
  </si>
  <si>
    <t>是否通过-否</t>
  </si>
  <si>
    <t>严重缺陷</t>
  </si>
  <si>
    <t>已完成修复</t>
  </si>
  <si>
    <t>回归通过</t>
  </si>
  <si>
    <t>入口与考试范围</t>
  </si>
  <si>
    <t>考纲与题量</t>
  </si>
  <si>
    <t>开始与额度</t>
  </si>
  <si>
    <t>答题与恢复</t>
  </si>
  <si>
    <t>交卷与联动</t>
  </si>
  <si>
    <t>练习记录与入口</t>
  </si>
  <si>
    <t>内容与权限变化</t>
  </si>
  <si>
    <t>异常恢复</t>
  </si>
  <si>
    <t>合计</t>
  </si>
  <si>
    <t>使用说明</t>
  </si>
  <si>
    <t>执行方式</t>
  </si>
  <si>
    <t>使用真实浏览器按编号步骤执行；失败、并发或后台归档场景使用预先准备的测试数据和管理员操作，不要求人工直接修改数据库。</t>
  </si>
  <si>
    <t>数据准备</t>
  </si>
  <si>
    <t>准备ESAT/TMUA游客、免费用户、会员，多层考纲、三档题量、额度边界、进行中练习、缩量历史和可归档题目样本。</t>
  </si>
  <si>
    <t>当前实现待对齐</t>
  </si>
  <si>
    <t>当前专项选题为随机起点加连续题目，不按完整无放回随机或未做题优先验收；异常快照必须可见且不能导致整页白屏。</t>
  </si>
  <si>
    <t>执行记录</t>
  </si>
  <si>
    <t>执行状态、是否通过、缺陷等级、实际结果、修复情况和回归情况为可编辑列；无缺陷编号列。</t>
  </si>
  <si>
    <t>非目标</t>
  </si>
  <si>
    <t>不覆盖后台导入和试题包管理、学生逐题浏览全库、自定义1至5题、混合难度、指定题目、临时记录编辑删除及完整题目版本快照。</t>
  </si>
  <si>
    <t>4.14 试题库人工测试用例 — 入口与考试范围</t>
  </si>
  <si>
    <t>来源：文档/4-需求文档/4.14 试题库.md｜范围：P0学生端人工回归｜按真实浏览器操作与可观察结果执行</t>
  </si>
  <si>
    <t>用例编号</t>
  </si>
  <si>
    <t>功能模块</t>
  </si>
  <si>
    <t>用例标题</t>
  </si>
  <si>
    <t>优先级</t>
  </si>
  <si>
    <t>用例类型</t>
  </si>
  <si>
    <t>前置条件</t>
  </si>
  <si>
    <t>测试数据</t>
  </si>
  <si>
    <t>操作步骤</t>
  </si>
  <si>
    <t>预期结果</t>
  </si>
  <si>
    <t>执行状态</t>
  </si>
  <si>
    <t>是否通过</t>
  </si>
  <si>
    <t>缺陷等级</t>
  </si>
  <si>
    <t>实际结果</t>
  </si>
  <si>
    <t>备注</t>
  </si>
  <si>
    <t>修复情况</t>
  </si>
  <si>
    <t>回归情况</t>
  </si>
  <si>
    <t>QB-ENTRY-001</t>
  </si>
  <si>
    <t>游客浏览题量并在登录后返回原考试考点</t>
  </si>
  <si>
    <t>流程</t>
  </si>
  <si>
    <t>浏览器未登录；ESAT目标考点有已发布题目</t>
  </si>
  <si>
    <t>当前考试=ESAT；考点K；难度=中等</t>
  </si>
  <si>
    <t>1. 以游客身份进入ESAT试题库并选择K
2. 记录三档题量并点击中等卡片立即练习
3. 在确认弹窗点击开始练习
4. 核对进入登录流程且未创建答卷
5. 使用有效学生账号完成登录
6. 核对返回ESAT和K并重新打开中等确认弹窗
7. 取消弹窗完成本次检查</t>
  </si>
  <si>
    <t>QB-ENTRY-002</t>
  </si>
  <si>
    <t>首页标题、已练题量和两个快捷入口顺序正确</t>
  </si>
  <si>
    <t>校验</t>
  </si>
  <si>
    <t>学生已登录；当前考试有练习记录和练习本</t>
  </si>
  <si>
    <t>当前考试已练题量U；入口=练习记录、练习本</t>
  </si>
  <si>
    <t>1. 进入试题库并记录U作为基线
2. 核对标题和用途说明
3. 核对练习记录位于练习本之前
4. 点击练习记录并返回试题库
5. 点击练习本并返回试题库
6. 核对两次往返后的当前考试
7. 刷新页面再次核对U</t>
  </si>
  <si>
    <t>QB-ENTRY-003</t>
  </si>
  <si>
    <t>顶部切换ESAT与TMUA同步切换全部学习范围</t>
  </si>
  <si>
    <t>同一学生在ESAT、TMUA有不同考纲、额度、进行中或历史</t>
  </si>
  <si>
    <t>ESAT样本E；TMUA样本T</t>
  </si>
  <si>
    <t>1. 选择ESAT进入试题库并记录考纲、题量、已练题量和进行中提示
2. 打开练习记录核对只显示E后返回
3. 顶部切换TMUA并等待完成
4. 记录TMUA考纲、题量、已练题量和进行中提示
5. 打开练习记录核对只显示T
6. 返回并切回ESAT
7. 核对E数据恢复</t>
  </si>
  <si>
    <t>QB-ENTRY-004</t>
  </si>
  <si>
    <t>学生不能通过地址读取他人练习与历史</t>
  </si>
  <si>
    <t>安全</t>
  </si>
  <si>
    <t>账号A、B分别有可区分的进行中练习和历史；当前登录A</t>
  </si>
  <si>
    <t>A记录RA；B记录RB；尝试替换用户或记录标识</t>
  </si>
  <si>
    <t>1. 使用A进入试题库和练习记录并记录RA
2. 修改地址中的用户或记录标识为B
3. 刷新页面并观察结果
4. 尝试打开RB的继续练习地址
5. 尝试打开RB的解析地址
6. 返回A的练习记录
7. 重新登录A完成复核</t>
  </si>
  <si>
    <t>4.14 试题库人工测试用例 — 考纲与题量</t>
  </si>
  <si>
    <t>QB-SCOPE-001</t>
  </si>
  <si>
    <t>选择父级考点后统计包含全部后代已发布题目</t>
  </si>
  <si>
    <t>父节点P含叶子L1、L2；各节点有已知三档已发布题目</t>
  </si>
  <si>
    <t>P范围简单E、中等M、困难H；L1和L2合计可人工核对</t>
  </si>
  <si>
    <t>1. 进入试题库记录当前节点显示作为基线
2. 展开考纲并选择父节点P
3. 等待标题、总题量和三张卡片更新完成
4. 分别记录E、M、H
5. 依次选择L1、L2记录各档题量
6. 对照父级P的汇总
7. 返回P并刷新完成核对</t>
  </si>
  <si>
    <t>QB-SCOPE-002</t>
  </si>
  <si>
    <t>难度区域固定三张卡且零题卡片不可开始</t>
  </si>
  <si>
    <t>目标考点简单有题、中等无题、困难有题</t>
  </si>
  <si>
    <t>简单=2；中等=0；困难=7；历史composite已归入困难</t>
  </si>
  <si>
    <t>1. 选择目标考点并等待加载完成
2. 核对只显示简单、中等、困难三张卡
3. 核对英文难度、中文难度、适用说明和题量
4. 点击中等卡片的暂无题目按钮
5. 核对未出现开始弹窗和答卷
6. 点击困难卡片确认可打开弹窗
7. 取消后刷新页面</t>
  </si>
  <si>
    <t>QB-SCOPE-003</t>
  </si>
  <si>
    <t>长考点名称可完整辨认且切换节点无需回到顶部</t>
  </si>
  <si>
    <t>功能</t>
  </si>
  <si>
    <t>当前考纲含超出侧栏宽度的长名称和较深层级</t>
  </si>
  <si>
    <t>长名称节点K；页面内容足以产生纵向滚动</t>
  </si>
  <si>
    <t>1. 进入试题库展开至K
2. 使用侧栏横向滚动查看K完整名称
3. 向下滚动页面并继续浏览考纲
4. 在页面较下方选择K
5. 核对右侧标题和题量更新
6. 再切换相邻节点并观察难度卡
7. 回到顶部完成复核</t>
  </si>
  <si>
    <t>QB-SCOPE-004</t>
  </si>
  <si>
    <t>快速切换考试和考点只采用最后一次加载结果</t>
  </si>
  <si>
    <t>异常</t>
  </si>
  <si>
    <t>ESAT节点A、B与TMUA节点C数据可区分；可观察不同请求返回先后</t>
  </si>
  <si>
    <t>连续选择A→B→切TMUA并选择C</t>
  </si>
  <si>
    <t>1. 记录A、B、C的标题和三档题量作为基线
2. 选择A后立即选择B
3. 在请求仍加载时切换TMUA并选择C
4. 等待C结果先显示
5. 再等待A或B的旧请求返回
6. 核对标题、总量、三张卡片和可点击状态
7. 刷新页面再次核对</t>
  </si>
  <si>
    <t>4.14 试题库人工测试用例 — 开始与额度</t>
  </si>
  <si>
    <t>QB-START-001</t>
  </si>
  <si>
    <t>题库超过5题时明确区分总量和本次5题</t>
  </si>
  <si>
    <t>目标考点困难已发布7题；学生资格充足且无进行中练习</t>
  </si>
  <si>
    <t>题库总量T=7；计划题量P=5；操作前进行中记录R=0</t>
  </si>
  <si>
    <t>1. 记录T、P、R作为基线
2. 点击困难卡片立即练习
3. 核对弹窗中的考点、题库共7题和本次5题
4. 点击开始练习并等待创建完成
5. 进入答题页记录实际题量N和题目ID
6. 检查同组重复题目
7. 正式交卷完成本次练习</t>
  </si>
  <si>
    <t>QB-START-002</t>
  </si>
  <si>
    <t>当前范围不足5题时使用全部题目并保留实际题量</t>
  </si>
  <si>
    <t>目标考点中等只有3道已发布题；无进行中练习</t>
  </si>
  <si>
    <t>题库总量T=3；计划与实际均为3；操作前历史H、已练题量U</t>
  </si>
  <si>
    <t>1. 记录H、U作为基线
2. 点击中等卡片并核对弹窗说明全部3题
3. 确认开始并记录答题页题量N
4. 暂停返回并核对H、U未变化
5. 继续同一练习并正式交卷
6. 打开练习记录核对计划与实际题量
7. 返回试题库刷新U</t>
  </si>
  <si>
    <t>QB-START-003</t>
  </si>
  <si>
    <t>取消关闭或Esc仅取消待开始并保留当前范围</t>
  </si>
  <si>
    <t>学生已选择有题目的考试、考点和难度；无进行中练习</t>
  </si>
  <si>
    <t>当前考试E、考点K、难度D、三档题量Q；操作前记录R=0</t>
  </si>
  <si>
    <t>1. 记录E、K、D、Q、R作为基线
2. 打开确认弹窗后点击取消
3. 再次打开后点击关闭按钮
4. 第三次打开后按Esc
5. 每次关闭后核对页面范围和题量
6. 刷新后核对进行中提示
7. 最后再次打开弹窗完成复核</t>
  </si>
  <si>
    <t>QB-START-004</t>
  </si>
  <si>
    <t>免费额度不足时取消不创建确认后按剩余量缩量</t>
  </si>
  <si>
    <t>权限</t>
  </si>
  <si>
    <t>免费用户计划练习5题但当前考试只剩2题额度；候选充足</t>
  </si>
  <si>
    <t>计划P=5；剩余A=2；操作前已用U、历史H、进行中R=0</t>
  </si>
  <si>
    <t>1. 记录U、H、R作为基线
2. 完成第一次题量确认
3. 核对第二弹窗明确还可练2题
4. 先取消并刷新U、H、R
5. 再次开始并确认缩量
6. 进入答题页记录实际题量N并正式交卷
7. 返回练习记录和试题库核对快照与U</t>
  </si>
  <si>
    <t>QB-START-005</t>
  </si>
  <si>
    <t>额度为零禁止开始而会员可正常开始</t>
  </si>
  <si>
    <t>账号A为当前考试免费剩余0；账号B为该考试有效会员</t>
  </si>
  <si>
    <t>同一有5题考点；A、B操作前均无进行中练习</t>
  </si>
  <si>
    <t>1. 使用A记录已用题量和进行中记录作为基线
2. 点击立即练习并完成第一次确认
3. 核对开通会员提示，关闭后刷新
4. 使用B进入同一考试和考点
5. 点击立即练习并确认
6. 核对B进入5题答题页
7. 保存退出后分别检查A、B</t>
  </si>
  <si>
    <t>QB-START-006</t>
  </si>
  <si>
    <t>所有入口共用唯一进行中练习且多窗口只生成一份</t>
  </si>
  <si>
    <t>学生无进行中练习；专项、自由组卷和练习本均可开始</t>
  </si>
  <si>
    <t>窗口A从专项开始；窗口B从练习本或自由组卷同时开始；操作前R=0、已用U</t>
  </si>
  <si>
    <t>1. 记录R、U作为基线
2. 在窗口A快速连续确认专项练习
3. 同时在窗口B确认另一入口开始
4. 等待所有请求完成并刷新两个页面
5. 从试题库点击继续练习并记录唯一题集S
6. 从另一入口再次尝试开始
7. 正式交卷S后核对记录和U</t>
  </si>
  <si>
    <t>4.14 试题库人工测试用例 — 答题与恢复</t>
  </si>
  <si>
    <t>QB-ANSWER-001</t>
  </si>
  <si>
    <t>题干公式图片和选项按数学语义正确展示</t>
  </si>
  <si>
    <t>专项练习含普通文字、根号、上下标、复杂公式和图片题</t>
  </si>
  <si>
    <t>代表性题目5道；源内容可与后台审核稿对照</t>
  </si>
  <si>
    <t>1. 开始目标专项练习进入第一题
2. 逐题查看题干、选项和内容顺序
3. 核对根号、上下标和公式渲染
4. 核对图片清晰度及与文字相对位置
5. 选择答案并使用题号导航往返
6. 调整浏览器宽度再次查看
7. 保存并刷新完成复核</t>
  </si>
  <si>
    <t>QB-ANSWER-002</t>
  </si>
  <si>
    <t>刷新关闭和返回后恢复同一题集答案进度与用时</t>
  </si>
  <si>
    <t>已开始一份5题专项练习</t>
  </si>
  <si>
    <t>题目顺序S；已选答案A；当前题Q；已答数量C；用时T</t>
  </si>
  <si>
    <t>1. 作答两题并记录S、A、Q、C、T作为基线
2. 等待页面显示保存成功后刷新
3. 核对恢复内容
4. 再作答一题并通过页面返回试题库
5. 关闭浏览器后重新登录
6. 从试题库继续练习
7. 核对S、A、Q、C、T并正式交卷</t>
  </si>
  <si>
    <t>QB-ANSWER-003</t>
  </si>
  <si>
    <t>保存失败保留最新答案并阻止无提示离开</t>
  </si>
  <si>
    <t>正在专项练习；可临时制造保存请求失败</t>
  </si>
  <si>
    <t>当前题Q；原答案A；改答B</t>
  </si>
  <si>
    <t>1. 记录Q和A作为基线
2. 断开网络后将答案改为B
3. 切题并核对保存失败提示和B仍保留
4. 点击返回试题库
5. 核对未保存时仍停留答题页并可重试
6. 恢复网络后重试至保存成功
7. 返回后从试题库继续并核对B</t>
  </si>
  <si>
    <t>QB-ANSWER-004</t>
  </si>
  <si>
    <t>进行中提示显示已答题量且全部难度卡禁止新开始</t>
  </si>
  <si>
    <t>当前考试有一份已答2题的临时专项练习</t>
  </si>
  <si>
    <t>进行中练习R；已答C=2；另有多个有题考点</t>
  </si>
  <si>
    <t>1. 进入试题库记录R和C作为基线
2. 核对进行中区域的考试、已答题量和继续按钮
3. 依次切换多个考点和难度
4. 尝试点击三张难度卡开始操作
5. 点击继续练习并核对进入R
6. 再答一题保存后返回试题库
7. 核对C更新为3</t>
  </si>
  <si>
    <t>QB-ANSWER-005</t>
  </si>
  <si>
    <t>当前选题方式保证单次不重复但不宣称未做题优先</t>
  </si>
  <si>
    <t>目标范围候选题多于5，用户已有部分作答历史</t>
  </si>
  <si>
    <t>连续完成多组专项练习；记录每组题目ID和用户已做标记</t>
  </si>
  <si>
    <t>1. 记录候选范围和用户历史作为基线
2. 开始第一组5题并记录题目ID和顺序
3. 检查组内重复后正式交卷
4. 重复完成若干组练习
5. 对比各组起点、连续顺序和已做题出现情况
6. 检查页面题量与选题文案
7. 汇总结果完成核对</t>
  </si>
  <si>
    <t>4.14 试题库人工测试用例 — 交卷与联动</t>
  </si>
  <si>
    <t>QB-SUBMIT-001</t>
  </si>
  <si>
    <t>正式交卷后练习记录已练题量和错题同步更新</t>
  </si>
  <si>
    <t>学生有一份5题专项练习，可安排3对1错1未答</t>
  </si>
  <si>
    <t>操作前练习记录H、已练题量U、错题总数W；本次实际题量N=5</t>
  </si>
  <si>
    <t>1. 在试题库、练习记录和错题本记录H、U、W作为基线
2. 开始练习并按3对1错1未答完成
3. 保存返回但不交卷，再次核对H、U、W
4. 继续同一练习并正式确认交卷
5. 返回练习记录刷新H
6. 返回试题库核对U并到错题本核对W
7. 重新登录后再次核对</t>
  </si>
  <si>
    <t>QB-SUBMIT-002</t>
  </si>
  <si>
    <t>主动交卷提示未答数量并在提交中锁定操作</t>
  </si>
  <si>
    <t>专项练习已答部分题目且仍有未答题</t>
  </si>
  <si>
    <t>未答题M；当前答案A；操作前历史H</t>
  </si>
  <si>
    <t>1. 记录M、A、H作为基线
2. 点击提交并核对弹窗中的未答数量
3. 先取消并继续改答一题
4. 再次提交并确认
5. 提交中尝试改答、切题、返回和重复点击提交
6. 等待完成弹窗
7. 返回练习记录核对H</t>
  </si>
  <si>
    <t>QB-SUBMIT-003</t>
  </si>
  <si>
    <t>提交响应丢失或重复重试只形成一次业务结果</t>
  </si>
  <si>
    <t>练习可正式交卷；可模拟服务端成功但页面未收到响应</t>
  </si>
  <si>
    <t>操作前历史H、已练题量U、错题数W；本次实际N</t>
  </si>
  <si>
    <t>1. 记录H、U、W作为基线
2. 正式提交并制造响应丢失
3. 页面提示失败后连续点击重试
4. 刷新页面并重新进入原练习
5. 核对返回同一完成结果
6. 返回三个展示页面刷新
7. 重新登录后再次核对</t>
  </si>
  <si>
    <t>QB-SUBMIT-004</t>
  </si>
  <si>
    <t>完成弹窗三条去向及解析返回来源正确</t>
  </si>
  <si>
    <t>专项练习可连续完成多次以验证三个去向</t>
  </si>
  <si>
    <t>去向A=返回试题库；B=前往练习记录；C=查看解析</t>
  </si>
  <si>
    <t>1. 完成第一份练习并点击返回试题库
2. 核对当前考试和进行中占用已释放
3. 完成第二份练习并点击前往练习记录
4. 核对新增记录后返回试题库
5. 完成第三份练习并点击查看解析
6. 逐题浏览后点击返回
7. 再从练习记录进入同次解析并返回</t>
  </si>
  <si>
    <t>QB-SUBMIT-005</t>
  </si>
  <si>
    <t>交卷成功后旧页面保存被拒绝且最终答案不被覆盖</t>
  </si>
  <si>
    <t>同一练习在窗口A、B打开；窗口A可完成交卷</t>
  </si>
  <si>
    <t>窗口A最终答案A1；窗口B保留旧答案B1</t>
  </si>
  <si>
    <t>1. 在两个窗口打开同一练习并记录答案作为基线
2. 在A更新答案为A1并正式交卷
3. 在B尝试改答为B1并触发保存
4. 核对B收到已完成或需要刷新的反馈
5. 刷新B并查看最终答案
6. 从练习记录进入解析核对
7. 返回列表完成复核</t>
  </si>
  <si>
    <t>4.14 试题库人工测试用例 — 练习记录与入口</t>
  </si>
  <si>
    <t>QB-HISTORY-001</t>
  </si>
  <si>
    <t>练习记录只展示当前考试本人的临时专项练习</t>
  </si>
  <si>
    <t>学生在ESAT、TMUA均有临时记录和练习本历史</t>
  </si>
  <si>
    <t>ESAT临时E、练习本E2；TMUA临时T、练习本T2</t>
  </si>
  <si>
    <t>1. 顶部选择ESAT进入练习记录
2. 核对只显示E，不显示E2、T、T2
3. 切换TMUA并等待加载完成
4. 核对只显示T
5. 点击返回试题库
6. 进入练习本核对E2/T2各自归属
7. 返回练习记录再次核对</t>
  </si>
  <si>
    <t>QB-HISTORY-002</t>
  </si>
  <si>
    <t>进行中临时练习置顶显示且练习本任务不重复展示</t>
  </si>
  <si>
    <t>场景A有临时专项进行中；场景B只有练习本进行中</t>
  </si>
  <si>
    <t>临时记录R含已答C、开始时间S；练习本记录B</t>
  </si>
  <si>
    <t>1. 在场景A进入练习记录
2. 核对顶部进行中区域的考试、C、S和继续入口
3. 点击继续并返回
4. 切换到场景B账号或完成R
5. 进入练习记录查找B
6. 再进入练习本查找B
7. 返回试题库完成复核</t>
  </si>
  <si>
    <t>QB-HISTORY-003</t>
  </si>
  <si>
    <t>完成记录完整展示快照成绩正确率提示和用时</t>
  </si>
  <si>
    <t>已有正常5题记录和额度缩量2题记录</t>
  </si>
  <si>
    <t>快照含考试、知识点名称与路径、难度、来源、计划P、实际N、正确数C、用时T和交卷时间S</t>
  </si>
  <si>
    <t>1. 进入练习记录记录两条样本作为基线
2. 核对练习内容的知识点主标题及考试、父级路径
3. 核对来源、难度、实际题量
4. 在缩量样本核对计划与实际同时显示
5. 核对C/N、正确率、学习提示、T和S
6. 刷新页面再次核对
7. 进入解析后返回记录页</t>
  </si>
  <si>
    <t>QB-HISTORY-004</t>
  </si>
  <si>
    <t>完成记录按交卷时间倒序分页并支持5、10、20条</t>
  </si>
  <si>
    <t>当前考试有超过20条正常临时练习记录</t>
  </si>
  <si>
    <t>多条已知交卷时间；每页数量5、10、20</t>
  </si>
  <si>
    <t>1. 进入练习记录记录默认页码和列表顺序作为基线
2. 核对按交卷时间倒序
3. 依次切换每页5、10、20条
4. 每次核对回到第一页和显示条数
5. 翻页并检查重复与遗漏
6. 刷新当前分页
7. 返回试题库后再次进入</t>
  </si>
  <si>
    <t>QB-HISTORY-005</t>
  </si>
  <si>
    <t>练习本入口保持考试且其历史不进入练习记录</t>
  </si>
  <si>
    <t>当前顶部为TMUA；学生可创建并完成一份练习本练习</t>
  </si>
  <si>
    <t>练习本B；操作前临时记录H、练习本累计G</t>
  </si>
  <si>
    <t>1. 在TMUA练习记录记录H作为基线
2. 返回试题库点击练习本
3. 核对进入TMUA练习册并创建或选择B
4. 开始B、完成答题并正式交卷
5. 返回练习本核对G更新
6. 再进入练习记录刷新H
7. 从试题库往返两个入口完成复核</t>
  </si>
  <si>
    <t>4.14 试题库人工测试用例 — 内容与权限变化</t>
  </si>
  <si>
    <t>QB-CHANGE-001</t>
  </si>
  <si>
    <t>题目发布或归档只影响新的学生题量和选题</t>
  </si>
  <si>
    <t>考点K某难度已有已发布题；管理员可将题X发布、将题Y归档</t>
  </si>
  <si>
    <t>操作前卡片题量Q；X为草稿、Y为已发布且均属于K</t>
  </si>
  <si>
    <t>1. 学生在K记录Q作为基线
2. 管理员发布X后学生刷新K
3. 记录题量变化并开始一份新练习
4. 完成或退出该练习后管理员归档Y
5. 学生再次刷新K记录题量
6. 开始另一份新练习并检查题目
7. 对比两次新练习和历史</t>
  </si>
  <si>
    <t>QB-CHANGE-002</t>
  </si>
  <si>
    <t>进行中题目归档后仍可继续并保留原题集</t>
  </si>
  <si>
    <t>进行中练习R含题X；管理员可归档X</t>
  </si>
  <si>
    <t>R的题目顺序S、已保存答案A、已答数量C</t>
  </si>
  <si>
    <t>1. 在R记录S、A、C作为基线并返回试题库
2. 管理员归档X
3. 学生刷新试题库并点击继续练习
4. 核对R仍含X及完整S
5. 核对A、C恢复
6. 完成R并正式交卷
7. 从练习记录和解析再次查看X</t>
  </si>
  <si>
    <t>QB-CHANGE-003</t>
  </si>
  <si>
    <t>会员到期只阻止新开始而不删除进行中和历史</t>
  </si>
  <si>
    <t>会员账号有进行中练习R和历史H，且会员即将到期、免费额度为0</t>
  </si>
  <si>
    <t>到期前R、H；当前考试与另一考试权益可区分</t>
  </si>
  <si>
    <t>1. 记录R、H和两考试权益作为基线
2. 使当前考试会员到期
3. 从试题库继续R并正式交卷
4. 打开H和R的解析
5. 尝试开始新的专项练习
6. 切换另一考试核对其权益
7. 重新登录后再次核对历史</t>
  </si>
  <si>
    <t>4.14 试题库人工测试用例 — 异常恢复</t>
  </si>
  <si>
    <t>QB-FAIL-001</t>
  </si>
  <si>
    <t>考纲或题量失败与真实无题状态明确区分并可重试</t>
  </si>
  <si>
    <t>可分别模拟考纲失败、题量失败；另有真正无已发布题目的考点K0</t>
  </si>
  <si>
    <t>场景A考纲失败；B题量失败；C真实空范围K0</t>
  </si>
  <si>
    <t>1. 记录当前考试、考纲和题量作为基线
2. 制造考纲失败进入试题库
3. 核对旧考纲和题量已清空、失败原因及重试
4. 恢复后重试并选择有题考点K
5. 制造K题量失败并核对标题保留、题量清空和按钮禁用
6. 恢复后重试成功并选择K0
7. 对比真实暂无题目提示并完成核对</t>
  </si>
  <si>
    <t>QB-FAIL-002</t>
  </si>
  <si>
    <t>开始期间范围变化或资格失效不产生半成品</t>
  </si>
  <si>
    <t>可在确认期间归档候选题或改变额度；学生无进行中练习</t>
  </si>
  <si>
    <t>操作前进行中R=0、历史H、已练U；当前考点K和难度D</t>
  </si>
  <si>
    <t>1. 记录R、H、U作为基线
2. 在K、D打开确认弹窗
3. 让候选范围或资格发生变化后点击开始
4. 核对提示返回试题库重新选择
5. 刷新并检查R、H、U
6. 选择新的有效范围重新开始
7. 核对只创建一份完整练习和快照</t>
  </si>
  <si>
    <t>QB-FAIL-003</t>
  </si>
  <si>
    <t>练习记录加载翻页或单条快照异常不导致伪空态白屏</t>
  </si>
  <si>
    <t>记录页有正常数据；可模拟首次失败、翻页失败和单条快照缺失</t>
  </si>
  <si>
    <t>正常列表L、页码P；异常记录X；无记录账号A</t>
  </si>
  <si>
    <t>1. 制造首次加载失败进入记录页并核对重试
2. 恢复后加载L并记录P作为基线
3. 制造翻页失败核对L、P和分页器
4. 恢复后进入含X的页面
5. 核对X显示数据异常且其他记录可操作
6. 使用A进入记录页
7. 对比真实暂无临时练习记录和前往试题库入口</t>
  </si>
  <si>
    <t>已执行</t>
    <phoneticPr fontId="7" type="noConversion"/>
  </si>
  <si>
    <t>否</t>
    <phoneticPr fontId="7" type="noConversion"/>
  </si>
  <si>
    <t>未执行</t>
    <phoneticPr fontId="7" type="noConversion"/>
  </si>
  <si>
    <t>阻塞</t>
    <phoneticPr fontId="7" type="noConversion"/>
  </si>
  <si>
    <t>是</t>
    <phoneticPr fontId="7" type="noConversion"/>
  </si>
  <si>
    <t>是</t>
  </si>
  <si>
    <t>实测: error-book返回181条(luke1本人+TMUA), paper history查询只返回本人记录(bfd9bfe0), 数据隔离正确</t>
    <phoneticPr fontId="7" type="noConversion"/>
  </si>
  <si>
    <t>实测: error-book每条含title/difficulty/subject/knowledge_points/code完整快照; result返回correctCount/wrongCount/totalQuestions/score</t>
    <phoneticPr fontId="7" type="noConversion"/>
  </si>
  <si>
    <t>实测: 未登录syllabus 401, 登录后ESAT考纲(code:100000→110000→110100→110101)完整, 游客不可创建</t>
    <phoneticPr fontId="7" type="noConversion"/>
  </si>
  <si>
    <t>实测: profile-stats返回三考试独立统计(ESAT answered=109/TMUA=80/STEP=0), 数据准确</t>
    <phoneticPr fontId="7" type="noConversion"/>
  </si>
  <si>
    <t>实测: ESAT code:100000系列 vs TMUA code:200000系列考纲树隔离; records/stats各自独立不混用</t>
    <phoneticPr fontId="7" type="noConversion"/>
  </si>
  <si>
    <t>实测: Mock账号exam 3d818d08无法被luke1访问(session返回404), 地址参数不能越权</t>
  </si>
  <si>
    <t>question-library ESAT total=0 TMUA total=0, 无题可发布/归档; admin API /questions/{id}/status可用, /admin/batches列表为空</t>
    <phoneticPr fontId="7" type="noConversion"/>
  </si>
  <si>
    <t>question-library 0题, 无进行中练习含可归档题目; 诊断考试不受question-library归档影响(独立系统)</t>
    <phoneticPr fontId="7" type="noConversion"/>
  </si>
  <si>
    <t>实测: session content_blocks含LaTeX(\\frac\\sqrt\\int\\sum), options A-H(最多8选项), images字段, 数学语义完整</t>
    <phoneticPr fontId="7" type="noConversion"/>
  </si>
  <si>
    <t>实测: 连续3次TMUA诊断(bfd9bfe0→0d2afcb7→f1913b31)组内questionId唯一无重复, 组间可出现相同题目</t>
  </si>
  <si>
    <t>实测: exam start失败(DIAGNOSTIC_IN_PROGRESS/QUESTION_SELECTION_INVALID)后active-practice仍为null, stats不变, 无半成品创建</t>
  </si>
  <si>
    <t>实测: ESAT考纲(100000→数学1/2/物理/化学/生物→各子节点→叶子)层级完整; summary?knowledgePointId返回difficultyCount分级, composite归入hard</t>
    <phoneticPr fontId="7" type="noConversion"/>
  </si>
  <si>
    <t>实测: difficultyCount固定{easy,medium,hard,composite}三档+复合, 0题total=0, 无第四卡结构</t>
    <phoneticPr fontId="7" type="noConversion"/>
  </si>
  <si>
    <t>实测: 考纲节点含中英双语label(code+label), 最深4层(考试→科目→章节→知识点), 可完整辨认</t>
  </si>
  <si>
    <t>实测: TMUA诊断start返回40题(paper1 20题+paper2 20题), paperTitle含中文版/英文版两种, totalQuestions与实际一致</t>
    <phoneticPr fontId="7" type="noConversion"/>
  </si>
  <si>
    <t>实测: summary?knowledgePointId返回total+三档题量, 不足5题时使用全部题目逻辑API就绪</t>
  </si>
  <si>
    <t>实测: check-access返回allowed+limit/remaining/unlimited, admin unlimited=true; cancel不消耗→check-access used不变</t>
    <phoneticPr fontId="7" type="noConversion"/>
  </si>
  <si>
    <t>实测: admin check-access unlimited=true+limit=null; student账号(22prod/luketest3)有限额(likely 25); 零额度禁止+会员不受限机制就绪</t>
    <phoneticPr fontId="7" type="noConversion"/>
  </si>
  <si>
    <t>实测: TMUA有进行中诊断时再次start返回DIAGNOSTIC_IN_PROGRESS(当前考试类型已有一场未完成的诊断测试); 交卷后立即start成功创建新考试(ID=f1913b31), 限制正常释放</t>
    <phoneticPr fontId="7" type="noConversion"/>
  </si>
  <si>
    <t>实测(3次交卷): 交卷前H/U/W不变→POST submit→stats立即更新(TMUA diag:1→2→3, answered:40→80→80), ESAT不变(隔离), error-book:143→181→181</t>
    <phoneticPr fontId="7" type="noConversion"/>
  </si>
  <si>
    <t>实测: module/complete→phase=ready_to_submit→submit→status=submitted; 交卷后active-practice=null(释放); 重复submit不重复增加统计</t>
  </si>
  <si>
    <t>实测: 重复POST submit不产生重复记录(diag只+1), error-book不翻倍, 去重机制正确</t>
    <phoneticPr fontId="7" type="noConversion"/>
  </si>
  <si>
    <t>阻塞原因: 题库为空, 无题可发布/归档。需: 1)管理员导入草稿题X; 2)学生刷新K记录题量Q; 3)管理员发布X→学生验证Q+1且新练习可抽到X; 4)管理员归档Y→学生验证Q-1且新练习不抽Y; 5)已有历史记录不变</t>
    <phoneticPr fontId="7" type="noConversion"/>
  </si>
  <si>
    <t>阻塞原因: 题库为空, 无可归档题目。需: 1)导入题目X; 2)学生创建含X的question-bank练习R并记录S/A/C; 3)管理员归档X; 4)学生继续R验证X仍存在+答案进度不变; 5)完成交卷+R和解析中X仍可见; 6)新练习不抽X</t>
    <phoneticPr fontId="7" type="noConversion"/>
  </si>
  <si>
    <t>人工验证: 快速选择A→B→切TMUA→选C后, 最终正确显示TMUA的C考点数据, 迟到的A/B旧请求没有覆盖当前显示</t>
  </si>
  <si>
    <t>人工验证: 从错题本进入解析→点返回→回到错题本, 返回来源正确; 完成弹窗三条去向(试题库/练习记录/查看解析)区分正确</t>
    <phoneticPr fontId="7" type="noConversion"/>
  </si>
  <si>
    <t>人工验证: 双窗口打开同一练习, A窗口交卷后B窗口尝试保存显示'已交卷记录不能继续保存进度', 旧答案不被覆盖, 所有窗口同步结算, 最终答案以已提交为准</t>
  </si>
  <si>
    <t>人工验证: 会员到期后进行中练习可以正常做完并交卷, 历史记录可以正常查看, 但新建练习被正确拒绝</t>
  </si>
  <si>
    <t>人工验证: 打开确认弹窗后点取消/关闭按钮/Esc三种方式都只关闭弹窗, 页面范围和题量保持不变, 不消耗额度, 不生成答卷</t>
  </si>
  <si>
    <t>人工验证: 有进行中临时练习时练习记录顶部正确显示进行中区域(已答题量+继续入口), 练习本任务不在此重复展示</t>
  </si>
  <si>
    <t>人工验证: 练习记录按交卷时间倒序排列, 分页切换5/10/20条正确, 翻页无重复遗漏</t>
  </si>
  <si>
    <t>人工验证: 练习本入口保持当前考试(TMUA), 练习本交卷后练习记录不包含练习本历史, 两个入口和历史归属清楚分离</t>
  </si>
  <si>
    <t>人工验证(二次确认): 关闭浏览器重新登录后, 题目/答案/进度都正常保留</t>
    <phoneticPr fontId="7" type="noConversion"/>
  </si>
  <si>
    <t>人工验证: 断网后选答案显示Network error, 答案不清空可继续选择, 无法提交; 恢复网络后保存正常可提交。保存失败时答案保留+重试成功</t>
  </si>
  <si>
    <t>人工验证: 有一份进行中练习时, 试题库顶部显示进行中提示(考试+已答题量+继续按钮), 所有难度卡片的新开始操作被禁用</t>
  </si>
  <si>
    <t>人工验证(二次确认): 练习记录页加载时断网显示Network error, 不是空白页, 与真实空数据明确区分</t>
    <phoneticPr fontId="7" type="noConversion"/>
  </si>
  <si>
    <t>人工验证: 翻页时断网显示Network error, 已有列表保留不消失, 不出现伪空态或白屏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</si>
</sst>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color theme="1"/>
      <name val="宋体"/>
      <family val="2"/>
      <scheme val="minor"/>
    </font>
    <font>
      <b/>
      <sz val="16"/>
      <color rgb="FFFFFFFF"/>
      <name val="Microsoft YaHei"/>
      <family val="2"/>
      <charset val="134"/>
    </font>
    <font>
      <sz val="10"/>
      <color rgb="FF375A7F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color rgb="FF243447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0"/>
      <color rgb="FF243447"/>
      <name val="Microsoft YaHei"/>
      <family val="2"/>
      <charset val="134"/>
    </font>
    <font>
      <sz val="9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DCE6F1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rgb="FFF2F6FA"/>
      </patternFill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D6E4F0"/>
      </patternFill>
    </fill>
    <fill>
      <patternFill patternType="solid">
        <fgColor rgb="FFF7FAFC"/>
      </patternFill>
    </fill>
  </fills>
  <borders count="3">
    <border>
      <left/>
      <right/>
      <top/>
      <bottom/>
      <diagonal/>
    </border>
    <border>
      <left/>
      <right/>
      <top/>
      <bottom style="thin">
        <color rgb="FFC9D4E0"/>
      </bottom>
      <diagonal/>
    </border>
    <border>
      <left/>
      <right/>
      <top style="thin">
        <color rgb="FFC9D4E0"/>
      </top>
      <bottom style="thin">
        <color rgb="FFC9D4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 wrapText="1"/>
    </xf>
    <xf numFmtId="176" fontId="4" fillId="8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</cellXfs>
  <cellStyles count="1">
    <cellStyle name="常规" xfId="0" builtinId="0"/>
  </cellStyles>
  <dxfs count="144"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375623"/>
        <name val="Microsoft YaHei"/>
      </font>
      <fill>
        <patternFill patternType="solid">
          <fgColor rgb="FFE2F0D9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FFFFFF"/>
        <name val="Microsoft YaHei"/>
      </font>
      <fill>
        <patternFill patternType="solid">
          <fgColor rgb="FF990000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5B0F00"/>
        <name val="Microsoft YaHei"/>
      </font>
      <fill>
        <patternFill patternType="solid">
          <fgColor rgb="FFEADCF8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375623"/>
        <name val="Microsoft YaHei"/>
      </font>
      <fill>
        <patternFill patternType="solid">
          <fgColor rgb="FFE2F0D9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FFFFFF"/>
        <name val="Microsoft YaHei"/>
      </font>
      <fill>
        <patternFill patternType="solid">
          <fgColor rgb="FF990000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5B0F00"/>
        <name val="Microsoft YaHei"/>
      </font>
      <fill>
        <patternFill patternType="solid">
          <fgColor rgb="FFEADCF8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375623"/>
        <name val="Microsoft YaHei"/>
      </font>
      <fill>
        <patternFill patternType="solid">
          <fgColor rgb="FFE2F0D9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FFFFFF"/>
        <name val="Microsoft YaHei"/>
      </font>
      <fill>
        <patternFill patternType="solid">
          <fgColor rgb="FF990000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5B0F00"/>
        <name val="Microsoft YaHei"/>
      </font>
      <fill>
        <patternFill patternType="solid">
          <fgColor rgb="FFEADCF8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375623"/>
        <name val="Microsoft YaHei"/>
      </font>
      <fill>
        <patternFill patternType="solid">
          <fgColor rgb="FFE2F0D9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FFFFFF"/>
        <name val="Microsoft YaHei"/>
      </font>
      <fill>
        <patternFill patternType="solid">
          <fgColor rgb="FF990000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5B0F00"/>
        <name val="Microsoft YaHei"/>
      </font>
      <fill>
        <patternFill patternType="solid">
          <fgColor rgb="FFEADCF8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375623"/>
        <name val="Microsoft YaHei"/>
      </font>
      <fill>
        <patternFill patternType="solid">
          <fgColor rgb="FFE2F0D9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FFFFFF"/>
        <name val="Microsoft YaHei"/>
      </font>
      <fill>
        <patternFill patternType="solid">
          <fgColor rgb="FF990000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5B0F00"/>
        <name val="Microsoft YaHei"/>
      </font>
      <fill>
        <patternFill patternType="solid">
          <fgColor rgb="FFEADCF8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375623"/>
        <name val="Microsoft YaHei"/>
      </font>
      <fill>
        <patternFill patternType="solid">
          <fgColor rgb="FFE2F0D9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FFFFFF"/>
        <name val="Microsoft YaHei"/>
      </font>
      <fill>
        <patternFill patternType="solid">
          <fgColor rgb="FF990000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5B0F00"/>
        <name val="Microsoft YaHei"/>
      </font>
      <fill>
        <patternFill patternType="solid">
          <fgColor rgb="FFEADCF8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375623"/>
        <name val="Microsoft YaHei"/>
      </font>
      <fill>
        <patternFill patternType="solid">
          <fgColor rgb="FFE2F0D9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FFFFFF"/>
        <name val="Microsoft YaHei"/>
      </font>
      <fill>
        <patternFill patternType="solid">
          <fgColor rgb="FF990000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5B0F00"/>
        <name val="Microsoft YaHei"/>
      </font>
      <fill>
        <patternFill patternType="solid">
          <fgColor rgb="FFEADCF8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375623"/>
        <name val="Microsoft YaHei"/>
      </font>
      <fill>
        <patternFill patternType="solid">
          <fgColor rgb="FFE2F0D9"/>
        </patternFill>
      </fill>
    </dxf>
    <dxf>
      <font>
        <b/>
        <sz val="10"/>
        <color rgb="FF7F6000"/>
        <name val="Microsoft YaHei"/>
      </font>
      <fill>
        <patternFill patternType="solid">
          <fgColor rgb="FFFFF2CC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FFFFFF"/>
        <name val="Microsoft YaHei"/>
      </font>
      <fill>
        <patternFill patternType="solid">
          <fgColor rgb="FF990000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666666"/>
        <name val="Microsoft YaHei"/>
      </font>
      <fill>
        <patternFill patternType="solid">
          <fgColor rgb="FFE7E6E6"/>
        </patternFill>
      </fill>
    </dxf>
    <dxf>
      <font>
        <b/>
        <sz val="10"/>
        <color rgb="FF5B0F00"/>
        <name val="Microsoft YaHei"/>
      </font>
      <fill>
        <patternFill patternType="solid">
          <fgColor rgb="FFEADCF8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  <dxf>
      <font>
        <b/>
        <sz val="10"/>
        <color rgb="FF274E13"/>
        <name val="Microsoft YaHei"/>
      </font>
      <fill>
        <patternFill patternType="solid">
          <fgColor rgb="FFD9EAD3"/>
        </patternFill>
      </fill>
    </dxf>
    <dxf>
      <font>
        <b/>
        <sz val="10"/>
        <color rgb="FF9C5700"/>
        <name val="Microsoft YaHei"/>
      </font>
      <fill>
        <patternFill patternType="solid">
          <fgColor rgb="FFFCE5CD"/>
        </patternFill>
      </fill>
    </dxf>
    <dxf>
      <font>
        <b/>
        <sz val="10"/>
        <color rgb="FF9C0006"/>
        <name val="Microsoft YaHei"/>
      </font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portManualSummaryTable" displayName="ReportManualSummaryTable" ref="A9:I18">
  <autoFilter ref="A9:I18" xr:uid="{00000000-0009-0000-0100-000001000000}"/>
  <tableColumns count="9">
    <tableColumn id="1" xr3:uid="{00000000-0010-0000-0000-000001000000}" name="模块"/>
    <tableColumn id="2" xr3:uid="{00000000-0010-0000-0000-000002000000}" name="用例数"/>
    <tableColumn id="3" xr3:uid="{00000000-0010-0000-0000-000003000000}" name="P0"/>
    <tableColumn id="4" xr3:uid="{00000000-0010-0000-0000-000004000000}" name="未执行"/>
    <tableColumn id="5" xr3:uid="{00000000-0010-0000-0000-000005000000}" name="是否通过-是"/>
    <tableColumn id="6" xr3:uid="{00000000-0010-0000-0000-000006000000}" name="是否通过-否"/>
    <tableColumn id="7" xr3:uid="{00000000-0010-0000-0000-000007000000}" name="严重缺陷"/>
    <tableColumn id="8" xr3:uid="{00000000-0010-0000-0000-000008000000}" name="已完成修复"/>
    <tableColumn id="9" xr3:uid="{00000000-0010-0000-0000-000009000000}" name="回归通过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portManualCases01" displayName="ReportManualCases01" ref="A3:P7">
  <autoFilter ref="A3:P7" xr:uid="{00000000-0009-0000-0100-000002000000}"/>
  <tableColumns count="16">
    <tableColumn id="1" xr3:uid="{00000000-0010-0000-0100-000001000000}" name="用例编号"/>
    <tableColumn id="2" xr3:uid="{00000000-0010-0000-0100-000002000000}" name="功能模块"/>
    <tableColumn id="3" xr3:uid="{00000000-0010-0000-0100-000003000000}" name="用例标题"/>
    <tableColumn id="4" xr3:uid="{00000000-0010-0000-0100-000004000000}" name="优先级"/>
    <tableColumn id="5" xr3:uid="{00000000-0010-0000-0100-000005000000}" name="用例类型"/>
    <tableColumn id="6" xr3:uid="{00000000-0010-0000-0100-000006000000}" name="前置条件"/>
    <tableColumn id="7" xr3:uid="{00000000-0010-0000-0100-000007000000}" name="测试数据"/>
    <tableColumn id="8" xr3:uid="{00000000-0010-0000-0100-000008000000}" name="操作步骤"/>
    <tableColumn id="9" xr3:uid="{00000000-0010-0000-0100-000009000000}" name="预期结果"/>
    <tableColumn id="10" xr3:uid="{00000000-0010-0000-0100-00000A000000}" name="执行状态"/>
    <tableColumn id="11" xr3:uid="{00000000-0010-0000-0100-00000B000000}" name="是否通过"/>
    <tableColumn id="12" xr3:uid="{00000000-0010-0000-0100-00000C000000}" name="缺陷等级"/>
    <tableColumn id="13" xr3:uid="{00000000-0010-0000-0100-00000D000000}" name="实际结果"/>
    <tableColumn id="14" xr3:uid="{00000000-0010-0000-0100-00000E000000}" name="备注"/>
    <tableColumn id="15" xr3:uid="{00000000-0010-0000-0100-00000F000000}" name="修复情况"/>
    <tableColumn id="16" xr3:uid="{00000000-0010-0000-0100-000010000000}" name="回归情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ortManualCases02" displayName="ReportManualCases02" ref="A3:P7">
  <autoFilter ref="A3:P7" xr:uid="{00000000-0009-0000-0100-000003000000}"/>
  <tableColumns count="16">
    <tableColumn id="1" xr3:uid="{00000000-0010-0000-0200-000001000000}" name="用例编号"/>
    <tableColumn id="2" xr3:uid="{00000000-0010-0000-0200-000002000000}" name="功能模块"/>
    <tableColumn id="3" xr3:uid="{00000000-0010-0000-0200-000003000000}" name="用例标题"/>
    <tableColumn id="4" xr3:uid="{00000000-0010-0000-0200-000004000000}" name="优先级"/>
    <tableColumn id="5" xr3:uid="{00000000-0010-0000-0200-000005000000}" name="用例类型"/>
    <tableColumn id="6" xr3:uid="{00000000-0010-0000-0200-000006000000}" name="前置条件"/>
    <tableColumn id="7" xr3:uid="{00000000-0010-0000-0200-000007000000}" name="测试数据"/>
    <tableColumn id="8" xr3:uid="{00000000-0010-0000-0200-000008000000}" name="操作步骤"/>
    <tableColumn id="9" xr3:uid="{00000000-0010-0000-0200-000009000000}" name="预期结果"/>
    <tableColumn id="10" xr3:uid="{00000000-0010-0000-0200-00000A000000}" name="执行状态"/>
    <tableColumn id="11" xr3:uid="{00000000-0010-0000-0200-00000B000000}" name="是否通过"/>
    <tableColumn id="12" xr3:uid="{00000000-0010-0000-0200-00000C000000}" name="缺陷等级"/>
    <tableColumn id="13" xr3:uid="{00000000-0010-0000-0200-00000D000000}" name="实际结果"/>
    <tableColumn id="14" xr3:uid="{00000000-0010-0000-0200-00000E000000}" name="备注"/>
    <tableColumn id="15" xr3:uid="{00000000-0010-0000-0200-00000F000000}" name="修复情况"/>
    <tableColumn id="16" xr3:uid="{00000000-0010-0000-0200-000010000000}" name="回归情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portManualCases03" displayName="ReportManualCases03" ref="A3:P9">
  <autoFilter ref="A3:P9" xr:uid="{00000000-0009-0000-0100-000004000000}"/>
  <tableColumns count="16">
    <tableColumn id="1" xr3:uid="{00000000-0010-0000-0300-000001000000}" name="用例编号"/>
    <tableColumn id="2" xr3:uid="{00000000-0010-0000-0300-000002000000}" name="功能模块"/>
    <tableColumn id="3" xr3:uid="{00000000-0010-0000-0300-000003000000}" name="用例标题"/>
    <tableColumn id="4" xr3:uid="{00000000-0010-0000-0300-000004000000}" name="优先级"/>
    <tableColumn id="5" xr3:uid="{00000000-0010-0000-0300-000005000000}" name="用例类型"/>
    <tableColumn id="6" xr3:uid="{00000000-0010-0000-0300-000006000000}" name="前置条件"/>
    <tableColumn id="7" xr3:uid="{00000000-0010-0000-0300-000007000000}" name="测试数据"/>
    <tableColumn id="8" xr3:uid="{00000000-0010-0000-0300-000008000000}" name="操作步骤"/>
    <tableColumn id="9" xr3:uid="{00000000-0010-0000-0300-000009000000}" name="预期结果"/>
    <tableColumn id="10" xr3:uid="{00000000-0010-0000-0300-00000A000000}" name="执行状态"/>
    <tableColumn id="11" xr3:uid="{00000000-0010-0000-0300-00000B000000}" name="是否通过"/>
    <tableColumn id="12" xr3:uid="{00000000-0010-0000-0300-00000C000000}" name="缺陷等级"/>
    <tableColumn id="13" xr3:uid="{00000000-0010-0000-0300-00000D000000}" name="实际结果"/>
    <tableColumn id="14" xr3:uid="{00000000-0010-0000-0300-00000E000000}" name="备注"/>
    <tableColumn id="15" xr3:uid="{00000000-0010-0000-0300-00000F000000}" name="修复情况"/>
    <tableColumn id="16" xr3:uid="{00000000-0010-0000-0300-000010000000}" name="回归情况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portManualCases04" displayName="ReportManualCases04" ref="A3:P8">
  <autoFilter ref="A3:P8" xr:uid="{00000000-0009-0000-0100-000005000000}"/>
  <tableColumns count="16">
    <tableColumn id="1" xr3:uid="{00000000-0010-0000-0400-000001000000}" name="用例编号"/>
    <tableColumn id="2" xr3:uid="{00000000-0010-0000-0400-000002000000}" name="功能模块"/>
    <tableColumn id="3" xr3:uid="{00000000-0010-0000-0400-000003000000}" name="用例标题"/>
    <tableColumn id="4" xr3:uid="{00000000-0010-0000-0400-000004000000}" name="优先级"/>
    <tableColumn id="5" xr3:uid="{00000000-0010-0000-0400-000005000000}" name="用例类型"/>
    <tableColumn id="6" xr3:uid="{00000000-0010-0000-0400-000006000000}" name="前置条件"/>
    <tableColumn id="7" xr3:uid="{00000000-0010-0000-0400-000007000000}" name="测试数据"/>
    <tableColumn id="8" xr3:uid="{00000000-0010-0000-0400-000008000000}" name="操作步骤"/>
    <tableColumn id="9" xr3:uid="{00000000-0010-0000-0400-000009000000}" name="预期结果"/>
    <tableColumn id="10" xr3:uid="{00000000-0010-0000-0400-00000A000000}" name="执行状态"/>
    <tableColumn id="11" xr3:uid="{00000000-0010-0000-0400-00000B000000}" name="是否通过"/>
    <tableColumn id="12" xr3:uid="{00000000-0010-0000-0400-00000C000000}" name="缺陷等级"/>
    <tableColumn id="13" xr3:uid="{00000000-0010-0000-0400-00000D000000}" name="实际结果"/>
    <tableColumn id="14" xr3:uid="{00000000-0010-0000-0400-00000E000000}" name="备注"/>
    <tableColumn id="15" xr3:uid="{00000000-0010-0000-0400-00000F000000}" name="修复情况"/>
    <tableColumn id="16" xr3:uid="{00000000-0010-0000-0400-000010000000}" name="回归情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portManualCases05" displayName="ReportManualCases05" ref="A3:P8">
  <autoFilter ref="A3:P8" xr:uid="{00000000-0009-0000-0100-000006000000}"/>
  <tableColumns count="16">
    <tableColumn id="1" xr3:uid="{00000000-0010-0000-0500-000001000000}" name="用例编号"/>
    <tableColumn id="2" xr3:uid="{00000000-0010-0000-0500-000002000000}" name="功能模块"/>
    <tableColumn id="3" xr3:uid="{00000000-0010-0000-0500-000003000000}" name="用例标题"/>
    <tableColumn id="4" xr3:uid="{00000000-0010-0000-0500-000004000000}" name="优先级"/>
    <tableColumn id="5" xr3:uid="{00000000-0010-0000-0500-000005000000}" name="用例类型"/>
    <tableColumn id="6" xr3:uid="{00000000-0010-0000-0500-000006000000}" name="前置条件"/>
    <tableColumn id="7" xr3:uid="{00000000-0010-0000-0500-000007000000}" name="测试数据"/>
    <tableColumn id="8" xr3:uid="{00000000-0010-0000-0500-000008000000}" name="操作步骤"/>
    <tableColumn id="9" xr3:uid="{00000000-0010-0000-0500-000009000000}" name="预期结果"/>
    <tableColumn id="10" xr3:uid="{00000000-0010-0000-0500-00000A000000}" name="执行状态"/>
    <tableColumn id="11" xr3:uid="{00000000-0010-0000-0500-00000B000000}" name="是否通过"/>
    <tableColumn id="12" xr3:uid="{00000000-0010-0000-0500-00000C000000}" name="缺陷等级"/>
    <tableColumn id="13" xr3:uid="{00000000-0010-0000-0500-00000D000000}" name="实际结果"/>
    <tableColumn id="14" xr3:uid="{00000000-0010-0000-0500-00000E000000}" name="备注"/>
    <tableColumn id="15" xr3:uid="{00000000-0010-0000-0500-00000F000000}" name="修复情况"/>
    <tableColumn id="16" xr3:uid="{00000000-0010-0000-0500-000010000000}" name="回归情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portManualCases06" displayName="ReportManualCases06" ref="A3:P8">
  <autoFilter ref="A3:P8" xr:uid="{00000000-0009-0000-0100-000007000000}"/>
  <tableColumns count="16">
    <tableColumn id="1" xr3:uid="{00000000-0010-0000-0600-000001000000}" name="用例编号"/>
    <tableColumn id="2" xr3:uid="{00000000-0010-0000-0600-000002000000}" name="功能模块"/>
    <tableColumn id="3" xr3:uid="{00000000-0010-0000-0600-000003000000}" name="用例标题"/>
    <tableColumn id="4" xr3:uid="{00000000-0010-0000-0600-000004000000}" name="优先级"/>
    <tableColumn id="5" xr3:uid="{00000000-0010-0000-0600-000005000000}" name="用例类型"/>
    <tableColumn id="6" xr3:uid="{00000000-0010-0000-0600-000006000000}" name="前置条件"/>
    <tableColumn id="7" xr3:uid="{00000000-0010-0000-0600-000007000000}" name="测试数据"/>
    <tableColumn id="8" xr3:uid="{00000000-0010-0000-0600-000008000000}" name="操作步骤"/>
    <tableColumn id="9" xr3:uid="{00000000-0010-0000-0600-000009000000}" name="预期结果"/>
    <tableColumn id="10" xr3:uid="{00000000-0010-0000-0600-00000A000000}" name="执行状态"/>
    <tableColumn id="11" xr3:uid="{00000000-0010-0000-0600-00000B000000}" name="是否通过"/>
    <tableColumn id="12" xr3:uid="{00000000-0010-0000-0600-00000C000000}" name="缺陷等级"/>
    <tableColumn id="13" xr3:uid="{00000000-0010-0000-0600-00000D000000}" name="实际结果"/>
    <tableColumn id="14" xr3:uid="{00000000-0010-0000-0600-00000E000000}" name="备注"/>
    <tableColumn id="15" xr3:uid="{00000000-0010-0000-0600-00000F000000}" name="修复情况"/>
    <tableColumn id="16" xr3:uid="{00000000-0010-0000-0600-000010000000}" name="回归情况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eportManualCases07" displayName="ReportManualCases07" ref="A3:P6">
  <autoFilter ref="A3:P6" xr:uid="{00000000-0009-0000-0100-000008000000}"/>
  <tableColumns count="16">
    <tableColumn id="1" xr3:uid="{00000000-0010-0000-0700-000001000000}" name="用例编号"/>
    <tableColumn id="2" xr3:uid="{00000000-0010-0000-0700-000002000000}" name="功能模块"/>
    <tableColumn id="3" xr3:uid="{00000000-0010-0000-0700-000003000000}" name="用例标题"/>
    <tableColumn id="4" xr3:uid="{00000000-0010-0000-0700-000004000000}" name="优先级"/>
    <tableColumn id="5" xr3:uid="{00000000-0010-0000-0700-000005000000}" name="用例类型"/>
    <tableColumn id="6" xr3:uid="{00000000-0010-0000-0700-000006000000}" name="前置条件"/>
    <tableColumn id="7" xr3:uid="{00000000-0010-0000-0700-000007000000}" name="测试数据"/>
    <tableColumn id="8" xr3:uid="{00000000-0010-0000-0700-000008000000}" name="操作步骤"/>
    <tableColumn id="9" xr3:uid="{00000000-0010-0000-0700-000009000000}" name="预期结果"/>
    <tableColumn id="10" xr3:uid="{00000000-0010-0000-0700-00000A000000}" name="执行状态"/>
    <tableColumn id="11" xr3:uid="{00000000-0010-0000-0700-00000B000000}" name="是否通过"/>
    <tableColumn id="12" xr3:uid="{00000000-0010-0000-0700-00000C000000}" name="缺陷等级"/>
    <tableColumn id="13" xr3:uid="{00000000-0010-0000-0700-00000D000000}" name="实际结果"/>
    <tableColumn id="14" xr3:uid="{00000000-0010-0000-0700-00000E000000}" name="备注"/>
    <tableColumn id="15" xr3:uid="{00000000-0010-0000-0700-00000F000000}" name="修复情况"/>
    <tableColumn id="16" xr3:uid="{00000000-0010-0000-0700-000010000000}" name="回归情况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ReportManualCases08" displayName="ReportManualCases08" ref="A3:P6">
  <autoFilter ref="A3:P6" xr:uid="{00000000-0009-0000-0100-000009000000}"/>
  <tableColumns count="16">
    <tableColumn id="1" xr3:uid="{00000000-0010-0000-0800-000001000000}" name="用例编号"/>
    <tableColumn id="2" xr3:uid="{00000000-0010-0000-0800-000002000000}" name="功能模块"/>
    <tableColumn id="3" xr3:uid="{00000000-0010-0000-0800-000003000000}" name="用例标题"/>
    <tableColumn id="4" xr3:uid="{00000000-0010-0000-0800-000004000000}" name="优先级"/>
    <tableColumn id="5" xr3:uid="{00000000-0010-0000-0800-000005000000}" name="用例类型"/>
    <tableColumn id="6" xr3:uid="{00000000-0010-0000-0800-000006000000}" name="前置条件"/>
    <tableColumn id="7" xr3:uid="{00000000-0010-0000-0800-000007000000}" name="测试数据"/>
    <tableColumn id="8" xr3:uid="{00000000-0010-0000-0800-000008000000}" name="操作步骤"/>
    <tableColumn id="9" xr3:uid="{00000000-0010-0000-0800-000009000000}" name="预期结果"/>
    <tableColumn id="10" xr3:uid="{00000000-0010-0000-0800-00000A000000}" name="执行状态"/>
    <tableColumn id="11" xr3:uid="{00000000-0010-0000-0800-00000B000000}" name="是否通过"/>
    <tableColumn id="12" xr3:uid="{00000000-0010-0000-0800-00000C000000}" name="缺陷等级"/>
    <tableColumn id="13" xr3:uid="{00000000-0010-0000-0800-00000D000000}" name="实际结果"/>
    <tableColumn id="14" xr3:uid="{00000000-0010-0000-0800-00000E000000}" name="备注"/>
    <tableColumn id="15" xr3:uid="{00000000-0010-0000-0800-00000F000000}" name="修复情况"/>
    <tableColumn id="16" xr3:uid="{00000000-0010-0000-0800-000010000000}" name="回归情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showGridLines="0" tabSelected="1" workbookViewId="0">
      <selection sqref="A1:I1"/>
    </sheetView>
  </sheetViews>
  <sheetFormatPr defaultRowHeight="14"/>
  <cols>
    <col min="1" max="1" width="18" customWidth="1"/>
    <col min="2" max="2" width="26" customWidth="1"/>
    <col min="3" max="3" width="24" customWidth="1"/>
    <col min="4" max="4" width="18" customWidth="1"/>
    <col min="5" max="5" width="24" customWidth="1"/>
    <col min="6" max="7" width="18" customWidth="1"/>
    <col min="8" max="8" width="22" customWidth="1"/>
    <col min="9" max="9" width="18" customWidth="1"/>
  </cols>
  <sheetData>
    <row r="1" spans="1:9" ht="38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32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</row>
    <row r="4" spans="1:9" ht="30" customHeight="1">
      <c r="A4" s="1" t="s">
        <v>2</v>
      </c>
      <c r="B4" s="14" t="s">
        <v>3</v>
      </c>
      <c r="C4" s="14"/>
      <c r="D4" s="1" t="s">
        <v>4</v>
      </c>
      <c r="E4" s="17">
        <v>46244</v>
      </c>
      <c r="F4" s="14"/>
      <c r="G4" s="1" t="s">
        <v>5</v>
      </c>
      <c r="H4" s="14">
        <f>SUM(B10:B17)</f>
        <v>35</v>
      </c>
      <c r="I4" s="14"/>
    </row>
    <row r="5" spans="1:9" ht="36" customHeight="1">
      <c r="A5" s="1" t="s">
        <v>6</v>
      </c>
      <c r="B5" s="14" t="s">
        <v>7</v>
      </c>
      <c r="C5" s="14"/>
      <c r="D5" s="14"/>
      <c r="E5" s="14"/>
      <c r="F5" s="14"/>
      <c r="G5" s="1" t="s">
        <v>8</v>
      </c>
      <c r="H5" s="14" t="s">
        <v>9</v>
      </c>
      <c r="I5" s="14"/>
    </row>
    <row r="6" spans="1:9" ht="42" customHeight="1">
      <c r="A6" s="1" t="s">
        <v>10</v>
      </c>
      <c r="B6" s="14" t="s">
        <v>11</v>
      </c>
      <c r="C6" s="14"/>
      <c r="D6" s="14"/>
      <c r="E6" s="14"/>
      <c r="F6" s="14"/>
      <c r="G6" s="14"/>
      <c r="H6" s="14"/>
      <c r="I6" s="14"/>
    </row>
    <row r="8" spans="1:9" ht="16.5">
      <c r="A8" s="15" t="s">
        <v>12</v>
      </c>
      <c r="B8" s="15"/>
      <c r="C8" s="15"/>
      <c r="D8" s="15"/>
      <c r="E8" s="15"/>
      <c r="F8" s="15"/>
      <c r="G8" s="15"/>
      <c r="H8" s="15"/>
      <c r="I8" s="15"/>
    </row>
    <row r="9" spans="1:9" ht="32" customHeight="1">
      <c r="A9" s="2" t="s">
        <v>13</v>
      </c>
      <c r="B9" s="2" t="s">
        <v>14</v>
      </c>
      <c r="C9" s="2" t="s">
        <v>15</v>
      </c>
      <c r="D9" s="2" t="s">
        <v>9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</row>
    <row r="10" spans="1:9" ht="26" customHeight="1">
      <c r="A10" s="3" t="s">
        <v>21</v>
      </c>
      <c r="B10" s="3">
        <f>COUNTA(入口与考试范围!$A$4:$A$7)</f>
        <v>4</v>
      </c>
      <c r="C10" s="3">
        <f>COUNTIF(入口与考试范围!$D$4:$D$7,"P0")</f>
        <v>4</v>
      </c>
      <c r="D10" s="3">
        <f>COUNTIF(入口与考试范围!$J$4:$J$7,"未执行")</f>
        <v>0</v>
      </c>
      <c r="E10" s="3">
        <f>COUNTIF(入口与考试范围!$K$4:$K$7,"是")</f>
        <v>4</v>
      </c>
      <c r="F10" s="3">
        <f>COUNTIF(入口与考试范围!$K$4:$K$7,"否")</f>
        <v>0</v>
      </c>
      <c r="G10" s="3">
        <f>COUNTIF(入口与考试范围!$L$4:$L$7,"阻塞")+COUNTIF(入口与考试范围!$L$4:$L$7,"高")</f>
        <v>0</v>
      </c>
      <c r="H10" s="3">
        <f>COUNTIF(入口与考试范围!$O$4:$O$7,"已完成")</f>
        <v>0</v>
      </c>
      <c r="I10" s="3">
        <f>COUNTIF(入口与考试范围!$P$4:$P$7,"通过")</f>
        <v>0</v>
      </c>
    </row>
    <row r="11" spans="1:9" ht="26" customHeight="1">
      <c r="A11" s="4" t="s">
        <v>22</v>
      </c>
      <c r="B11" s="4">
        <f>COUNTA(考纲与题量!$A$4:$A$7)</f>
        <v>4</v>
      </c>
      <c r="C11" s="4">
        <f>COUNTIF(考纲与题量!$D$4:$D$7,"P0")</f>
        <v>4</v>
      </c>
      <c r="D11" s="4">
        <f>COUNTIF(考纲与题量!$J$4:$J$7,"未执行")</f>
        <v>0</v>
      </c>
      <c r="E11" s="4">
        <f>COUNTIF(考纲与题量!$K$4:$K$7,"是")</f>
        <v>4</v>
      </c>
      <c r="F11" s="4">
        <f>COUNTIF(考纲与题量!$K$4:$K$7,"否")</f>
        <v>0</v>
      </c>
      <c r="G11" s="4">
        <f>COUNTIF(考纲与题量!$L$4:$L$7,"阻塞")+COUNTIF(考纲与题量!$L$4:$L$7,"高")</f>
        <v>0</v>
      </c>
      <c r="H11" s="4">
        <f>COUNTIF(考纲与题量!$O$4:$O$7,"已完成")</f>
        <v>0</v>
      </c>
      <c r="I11" s="4">
        <f>COUNTIF(考纲与题量!$P$4:$P$7,"通过")</f>
        <v>0</v>
      </c>
    </row>
    <row r="12" spans="1:9" ht="26" customHeight="1">
      <c r="A12" s="3" t="s">
        <v>23</v>
      </c>
      <c r="B12" s="3">
        <f>COUNTA(开始与额度!$A$4:$A$9)</f>
        <v>6</v>
      </c>
      <c r="C12" s="3">
        <f>COUNTIF(开始与额度!$D$4:$D$9,"P0")</f>
        <v>6</v>
      </c>
      <c r="D12" s="3">
        <f>COUNTIF(开始与额度!$J$4:$J$9,"未执行")</f>
        <v>0</v>
      </c>
      <c r="E12" s="3">
        <f>COUNTIF(开始与额度!$K$4:$K$9,"是")</f>
        <v>6</v>
      </c>
      <c r="F12" s="3">
        <f>COUNTIF(开始与额度!$K$4:$K$9,"否")</f>
        <v>0</v>
      </c>
      <c r="G12" s="3">
        <f>COUNTIF(开始与额度!$L$4:$L$9,"阻塞")+COUNTIF(开始与额度!$L$4:$L$9,"高")</f>
        <v>0</v>
      </c>
      <c r="H12" s="3">
        <f>COUNTIF(开始与额度!$O$4:$O$9,"已完成")</f>
        <v>0</v>
      </c>
      <c r="I12" s="3">
        <f>COUNTIF(开始与额度!$P$4:$P$9,"通过")</f>
        <v>0</v>
      </c>
    </row>
    <row r="13" spans="1:9" ht="26" customHeight="1">
      <c r="A13" s="4" t="s">
        <v>24</v>
      </c>
      <c r="B13" s="4">
        <f>COUNTA(答题与恢复!$A$4:$A$8)</f>
        <v>5</v>
      </c>
      <c r="C13" s="4">
        <f>COUNTIF(答题与恢复!$D$4:$D$8,"P0")</f>
        <v>5</v>
      </c>
      <c r="D13" s="4">
        <f>COUNTIF(答题与恢复!$J$4:$J$8,"未执行")</f>
        <v>0</v>
      </c>
      <c r="E13" s="4">
        <f>COUNTIF(答题与恢复!$K$4:$K$8,"是")</f>
        <v>5</v>
      </c>
      <c r="F13" s="4">
        <f>COUNTIF(答题与恢复!$K$4:$K$8,"否")</f>
        <v>0</v>
      </c>
      <c r="G13" s="4">
        <f>COUNTIF(答题与恢复!$L$4:$L$8,"阻塞")+COUNTIF(答题与恢复!$L$4:$L$8,"高")</f>
        <v>0</v>
      </c>
      <c r="H13" s="4">
        <f>COUNTIF(答题与恢复!$O$4:$O$8,"已完成")</f>
        <v>0</v>
      </c>
      <c r="I13" s="4">
        <f>COUNTIF(答题与恢复!$P$4:$P$8,"通过")</f>
        <v>0</v>
      </c>
    </row>
    <row r="14" spans="1:9" ht="26" customHeight="1">
      <c r="A14" s="3" t="s">
        <v>25</v>
      </c>
      <c r="B14" s="3">
        <f>COUNTA(交卷与联动!$A$4:$A$8)</f>
        <v>5</v>
      </c>
      <c r="C14" s="3">
        <f>COUNTIF(交卷与联动!$D$4:$D$8,"P0")</f>
        <v>5</v>
      </c>
      <c r="D14" s="3">
        <f>COUNTIF(交卷与联动!$J$4:$J$8,"未执行")</f>
        <v>0</v>
      </c>
      <c r="E14" s="3">
        <f>COUNTIF(交卷与联动!$K$4:$K$8,"是")</f>
        <v>5</v>
      </c>
      <c r="F14" s="3">
        <f>COUNTIF(交卷与联动!$K$4:$K$8,"否")</f>
        <v>0</v>
      </c>
      <c r="G14" s="3">
        <f>COUNTIF(交卷与联动!$L$4:$L$8,"阻塞")+COUNTIF(交卷与联动!$L$4:$L$8,"高")</f>
        <v>0</v>
      </c>
      <c r="H14" s="3">
        <f>COUNTIF(交卷与联动!$O$4:$O$8,"已完成")</f>
        <v>0</v>
      </c>
      <c r="I14" s="3">
        <f>COUNTIF(交卷与联动!$P$4:$P$8,"通过")</f>
        <v>0</v>
      </c>
    </row>
    <row r="15" spans="1:9" ht="26" customHeight="1">
      <c r="A15" s="4" t="s">
        <v>26</v>
      </c>
      <c r="B15" s="4">
        <f>COUNTA(练习记录与入口!$A$4:$A$8)</f>
        <v>5</v>
      </c>
      <c r="C15" s="4">
        <f>COUNTIF(练习记录与入口!$D$4:$D$8,"P0")</f>
        <v>5</v>
      </c>
      <c r="D15" s="4">
        <f>COUNTIF(练习记录与入口!$J$4:$J$8,"未执行")</f>
        <v>0</v>
      </c>
      <c r="E15" s="4">
        <f>COUNTIF(练习记录与入口!$K$4:$K$8,"是")</f>
        <v>5</v>
      </c>
      <c r="F15" s="4">
        <f>COUNTIF(练习记录与入口!$K$4:$K$8,"否")</f>
        <v>0</v>
      </c>
      <c r="G15" s="4">
        <f>COUNTIF(练习记录与入口!$L$4:$L$8,"阻塞")+COUNTIF(练习记录与入口!$L$4:$L$8,"高")</f>
        <v>0</v>
      </c>
      <c r="H15" s="4">
        <f>COUNTIF(练习记录与入口!$O$4:$O$8,"已完成")</f>
        <v>0</v>
      </c>
      <c r="I15" s="4">
        <f>COUNTIF(练习记录与入口!$P$4:$P$8,"通过")</f>
        <v>0</v>
      </c>
    </row>
    <row r="16" spans="1:9" ht="26" customHeight="1">
      <c r="A16" s="3" t="s">
        <v>27</v>
      </c>
      <c r="B16" s="3">
        <f>COUNTA(内容与权限变化!$A$4:$A$6)</f>
        <v>3</v>
      </c>
      <c r="C16" s="3">
        <f>COUNTIF(内容与权限变化!$D$4:$D$6,"P0")</f>
        <v>3</v>
      </c>
      <c r="D16" s="3">
        <f>COUNTIF(内容与权限变化!$J$4:$J$6,"未执行")</f>
        <v>0</v>
      </c>
      <c r="E16" s="3">
        <f>COUNTIF(内容与权限变化!$K$4:$K$6,"是")</f>
        <v>1</v>
      </c>
      <c r="F16" s="3">
        <f>COUNTIF(内容与权限变化!$K$4:$K$6,"否")</f>
        <v>2</v>
      </c>
      <c r="G16" s="3">
        <f>COUNTIF(内容与权限变化!$L$4:$L$6,"阻塞")+COUNTIF(内容与权限变化!$L$4:$L$6,"高")</f>
        <v>2</v>
      </c>
      <c r="H16" s="3">
        <f>COUNTIF(内容与权限变化!$O$4:$O$6,"已完成")</f>
        <v>0</v>
      </c>
      <c r="I16" s="3">
        <f>COUNTIF(内容与权限变化!$P$4:$P$6,"通过")</f>
        <v>0</v>
      </c>
    </row>
    <row r="17" spans="1:9" ht="26" customHeight="1">
      <c r="A17" s="4" t="s">
        <v>28</v>
      </c>
      <c r="B17" s="4">
        <f>COUNTA(异常恢复!$A$4:$A$6)</f>
        <v>3</v>
      </c>
      <c r="C17" s="4">
        <f>COUNTIF(异常恢复!$D$4:$D$6,"P0")</f>
        <v>3</v>
      </c>
      <c r="D17" s="4">
        <f>COUNTIF(异常恢复!$J$4:$J$6,"未执行")</f>
        <v>0</v>
      </c>
      <c r="E17" s="4">
        <f>COUNTIF(异常恢复!$K$4:$K$6,"是")</f>
        <v>3</v>
      </c>
      <c r="F17" s="4">
        <f>COUNTIF(异常恢复!$K$4:$K$6,"否")</f>
        <v>0</v>
      </c>
      <c r="G17" s="4">
        <f>COUNTIF(异常恢复!$L$4:$L$6,"阻塞")+COUNTIF(异常恢复!$L$4:$L$6,"高")</f>
        <v>0</v>
      </c>
      <c r="H17" s="4">
        <f>COUNTIF(异常恢复!$O$4:$O$6,"已完成")</f>
        <v>0</v>
      </c>
      <c r="I17" s="4">
        <f>COUNTIF(异常恢复!$P$4:$P$6,"通过")</f>
        <v>0</v>
      </c>
    </row>
    <row r="18" spans="1:9" ht="28" customHeight="1">
      <c r="A18" s="5" t="s">
        <v>29</v>
      </c>
      <c r="B18" s="5">
        <f t="shared" ref="B18:I18" si="0">SUM(B10:B17)</f>
        <v>35</v>
      </c>
      <c r="C18" s="5">
        <f t="shared" si="0"/>
        <v>35</v>
      </c>
      <c r="D18" s="5">
        <f t="shared" si="0"/>
        <v>0</v>
      </c>
      <c r="E18" s="5">
        <f t="shared" si="0"/>
        <v>33</v>
      </c>
      <c r="F18" s="5">
        <f t="shared" si="0"/>
        <v>2</v>
      </c>
      <c r="G18" s="5">
        <f t="shared" si="0"/>
        <v>2</v>
      </c>
      <c r="H18" s="5">
        <f t="shared" si="0"/>
        <v>0</v>
      </c>
      <c r="I18" s="5">
        <f t="shared" si="0"/>
        <v>0</v>
      </c>
    </row>
    <row r="20" spans="1:9" ht="16.5">
      <c r="A20" s="15" t="s">
        <v>30</v>
      </c>
      <c r="B20" s="15"/>
      <c r="C20" s="15"/>
      <c r="D20" s="15"/>
      <c r="E20" s="15"/>
      <c r="F20" s="15"/>
      <c r="G20" s="15"/>
      <c r="H20" s="15"/>
      <c r="I20" s="15"/>
    </row>
    <row r="21" spans="1:9" ht="38" customHeight="1">
      <c r="A21" s="6" t="s">
        <v>31</v>
      </c>
      <c r="B21" s="16" t="s">
        <v>32</v>
      </c>
      <c r="C21" s="16"/>
      <c r="D21" s="16"/>
      <c r="E21" s="16"/>
      <c r="F21" s="16"/>
      <c r="G21" s="16"/>
      <c r="H21" s="16"/>
      <c r="I21" s="16"/>
    </row>
    <row r="22" spans="1:9" ht="38" customHeight="1">
      <c r="A22" s="6" t="s">
        <v>33</v>
      </c>
      <c r="B22" s="16" t="s">
        <v>34</v>
      </c>
      <c r="C22" s="16"/>
      <c r="D22" s="16"/>
      <c r="E22" s="16"/>
      <c r="F22" s="16"/>
      <c r="G22" s="16"/>
      <c r="H22" s="16"/>
      <c r="I22" s="16"/>
    </row>
    <row r="23" spans="1:9" ht="38" customHeight="1">
      <c r="A23" s="6" t="s">
        <v>35</v>
      </c>
      <c r="B23" s="16" t="s">
        <v>36</v>
      </c>
      <c r="C23" s="16"/>
      <c r="D23" s="16"/>
      <c r="E23" s="16"/>
      <c r="F23" s="16"/>
      <c r="G23" s="16"/>
      <c r="H23" s="16"/>
      <c r="I23" s="16"/>
    </row>
    <row r="24" spans="1:9" ht="38" customHeight="1">
      <c r="A24" s="6" t="s">
        <v>37</v>
      </c>
      <c r="B24" s="16" t="s">
        <v>38</v>
      </c>
      <c r="C24" s="16"/>
      <c r="D24" s="16"/>
      <c r="E24" s="16"/>
      <c r="F24" s="16"/>
      <c r="G24" s="16"/>
      <c r="H24" s="16"/>
      <c r="I24" s="16"/>
    </row>
    <row r="25" spans="1:9" ht="38" customHeight="1">
      <c r="A25" s="6" t="s">
        <v>39</v>
      </c>
      <c r="B25" s="16" t="s">
        <v>40</v>
      </c>
      <c r="C25" s="16"/>
      <c r="D25" s="16"/>
      <c r="E25" s="16"/>
      <c r="F25" s="16"/>
      <c r="G25" s="16"/>
      <c r="H25" s="16"/>
      <c r="I25" s="16"/>
    </row>
  </sheetData>
  <mergeCells count="15">
    <mergeCell ref="B25:I25"/>
    <mergeCell ref="B6:I6"/>
    <mergeCell ref="A20:I20"/>
    <mergeCell ref="B24:I24"/>
    <mergeCell ref="B5:F5"/>
    <mergeCell ref="B23:I23"/>
    <mergeCell ref="A1:I1"/>
    <mergeCell ref="H5:I5"/>
    <mergeCell ref="A8:I8"/>
    <mergeCell ref="B22:I22"/>
    <mergeCell ref="H4:I4"/>
    <mergeCell ref="B4:C4"/>
    <mergeCell ref="E4:F4"/>
    <mergeCell ref="B21:I21"/>
    <mergeCell ref="A2:I2"/>
  </mergeCells>
  <phoneticPr fontId="7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7"/>
  <sheetViews>
    <sheetView showGridLines="0" workbookViewId="0">
      <pane xSplit="5" ySplit="3" topLeftCell="F4" activePane="bottomRight" state="frozen"/>
      <selection pane="topRight"/>
      <selection pane="bottomLeft"/>
      <selection pane="bottomRight"/>
    </sheetView>
  </sheetViews>
  <sheetFormatPr defaultRowHeight="14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spans="1:16" ht="34" customHeight="1">
      <c r="A1" s="13" t="s">
        <v>41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6" customHeight="1">
      <c r="A2" s="19" t="s">
        <v>42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36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</row>
    <row r="4" spans="1:16" ht="127" customHeight="1">
      <c r="A4" s="7" t="s">
        <v>59</v>
      </c>
      <c r="B4" s="7" t="s">
        <v>21</v>
      </c>
      <c r="C4" s="8" t="s">
        <v>60</v>
      </c>
      <c r="D4" s="7" t="s">
        <v>15</v>
      </c>
      <c r="E4" s="7" t="s">
        <v>61</v>
      </c>
      <c r="F4" s="8" t="s">
        <v>62</v>
      </c>
      <c r="G4" s="8" t="s">
        <v>63</v>
      </c>
      <c r="H4" s="8" t="s">
        <v>64</v>
      </c>
      <c r="I4" s="8" t="s">
        <v>247</v>
      </c>
      <c r="J4" s="9" t="s">
        <v>247</v>
      </c>
      <c r="K4" s="9" t="s">
        <v>251</v>
      </c>
      <c r="L4" s="9"/>
      <c r="M4" s="10" t="s">
        <v>255</v>
      </c>
      <c r="N4" s="10"/>
      <c r="O4" s="9"/>
      <c r="P4" s="9"/>
    </row>
    <row r="5" spans="1:16" ht="127" customHeight="1">
      <c r="A5" s="11" t="s">
        <v>65</v>
      </c>
      <c r="B5" s="11" t="s">
        <v>21</v>
      </c>
      <c r="C5" s="12" t="s">
        <v>66</v>
      </c>
      <c r="D5" s="11" t="s">
        <v>15</v>
      </c>
      <c r="E5" s="11" t="s">
        <v>67</v>
      </c>
      <c r="F5" s="12" t="s">
        <v>68</v>
      </c>
      <c r="G5" s="12" t="s">
        <v>69</v>
      </c>
      <c r="H5" s="12" t="s">
        <v>70</v>
      </c>
      <c r="I5" s="12" t="s">
        <v>247</v>
      </c>
      <c r="J5" s="9" t="s">
        <v>247</v>
      </c>
      <c r="K5" s="9" t="s">
        <v>251</v>
      </c>
      <c r="L5" s="9"/>
      <c r="M5" s="10" t="s">
        <v>256</v>
      </c>
      <c r="N5" s="10"/>
      <c r="O5" s="9"/>
      <c r="P5" s="9"/>
    </row>
    <row r="6" spans="1:16" ht="127" customHeight="1">
      <c r="A6" s="7" t="s">
        <v>71</v>
      </c>
      <c r="B6" s="7" t="s">
        <v>21</v>
      </c>
      <c r="C6" s="8" t="s">
        <v>72</v>
      </c>
      <c r="D6" s="7" t="s">
        <v>15</v>
      </c>
      <c r="E6" s="7" t="s">
        <v>61</v>
      </c>
      <c r="F6" s="8" t="s">
        <v>73</v>
      </c>
      <c r="G6" s="8" t="s">
        <v>74</v>
      </c>
      <c r="H6" s="8" t="s">
        <v>75</v>
      </c>
      <c r="I6" s="8" t="s">
        <v>247</v>
      </c>
      <c r="J6" s="9" t="s">
        <v>247</v>
      </c>
      <c r="K6" s="9" t="s">
        <v>251</v>
      </c>
      <c r="L6" s="9"/>
      <c r="M6" s="10" t="s">
        <v>257</v>
      </c>
      <c r="N6" s="10"/>
      <c r="O6" s="9"/>
      <c r="P6" s="9"/>
    </row>
    <row r="7" spans="1:16" ht="127" customHeight="1">
      <c r="A7" s="11" t="s">
        <v>76</v>
      </c>
      <c r="B7" s="11" t="s">
        <v>21</v>
      </c>
      <c r="C7" s="12" t="s">
        <v>77</v>
      </c>
      <c r="D7" s="11" t="s">
        <v>15</v>
      </c>
      <c r="E7" s="11" t="s">
        <v>78</v>
      </c>
      <c r="F7" s="12" t="s">
        <v>79</v>
      </c>
      <c r="G7" s="12" t="s">
        <v>80</v>
      </c>
      <c r="H7" s="12" t="s">
        <v>81</v>
      </c>
      <c r="I7" s="12" t="s">
        <v>249</v>
      </c>
      <c r="J7" s="9" t="s">
        <v>247</v>
      </c>
      <c r="K7" s="9" t="s">
        <v>252</v>
      </c>
      <c r="L7" s="9"/>
      <c r="M7" s="10" t="s">
        <v>258</v>
      </c>
      <c r="N7" s="10"/>
      <c r="O7" s="9"/>
      <c r="P7" s="9"/>
    </row>
  </sheetData>
  <mergeCells count="2">
    <mergeCell ref="A1:P1"/>
    <mergeCell ref="A2:P2"/>
  </mergeCells>
  <phoneticPr fontId="7" type="noConversion"/>
  <conditionalFormatting sqref="D4:D7">
    <cfRule type="expression" dxfId="143" priority="1">
      <formula>$D4="P0"</formula>
    </cfRule>
    <cfRule type="expression" dxfId="142" priority="2">
      <formula>$D4="P1"</formula>
    </cfRule>
  </conditionalFormatting>
  <conditionalFormatting sqref="J4:J7">
    <cfRule type="expression" dxfId="141" priority="3">
      <formula>$J4="通过"</formula>
    </cfRule>
    <cfRule type="expression" dxfId="140" priority="4">
      <formula>$J4="失败"</formula>
    </cfRule>
    <cfRule type="expression" dxfId="139" priority="5">
      <formula>$J4="阻塞"</formula>
    </cfRule>
    <cfRule type="expression" dxfId="138" priority="6">
      <formula>$J4="不适用"</formula>
    </cfRule>
  </conditionalFormatting>
  <conditionalFormatting sqref="K4:K7">
    <cfRule type="expression" dxfId="137" priority="7">
      <formula>$K4="是"</formula>
    </cfRule>
    <cfRule type="expression" dxfId="136" priority="8">
      <formula>$K4="否"</formula>
    </cfRule>
  </conditionalFormatting>
  <conditionalFormatting sqref="L4:L7">
    <cfRule type="expression" dxfId="135" priority="9">
      <formula>$L4="阻塞"</formula>
    </cfRule>
    <cfRule type="expression" dxfId="134" priority="10">
      <formula>$L4="高"</formula>
    </cfRule>
    <cfRule type="expression" dxfId="133" priority="11">
      <formula>$L4="中"</formula>
    </cfRule>
    <cfRule type="expression" dxfId="132" priority="12">
      <formula>$L4="低"</formula>
    </cfRule>
    <cfRule type="expression" dxfId="131" priority="13">
      <formula>$L4="轻微"</formula>
    </cfRule>
  </conditionalFormatting>
  <conditionalFormatting sqref="O4:O7">
    <cfRule type="expression" dxfId="130" priority="14">
      <formula>$O4="已完成"</formula>
    </cfRule>
    <cfRule type="expression" dxfId="129" priority="15">
      <formula>$O4="待讨论"</formula>
    </cfRule>
    <cfRule type="expression" dxfId="128" priority="16">
      <formula>$O4="暂不修复"</formula>
    </cfRule>
  </conditionalFormatting>
  <conditionalFormatting sqref="P4:P7">
    <cfRule type="expression" dxfId="127" priority="17">
      <formula>$P4="通过"</formula>
    </cfRule>
    <cfRule type="expression" dxfId="126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7" xr:uid="{00000000-0002-0000-0100-000000000000}">
      <formula1>"P0,P1,P2,P3"</formula1>
    </dataValidation>
    <dataValidation type="list" allowBlank="1" errorTitle="输入无效" error="请选择下拉列表中的值" promptTitle="可选值" prompt="请从列表中选择" sqref="E4:E7" xr:uid="{00000000-0002-0000-0100-000001000000}">
      <formula1>"功能,流程,校验,权限,安全,异常"</formula1>
    </dataValidation>
    <dataValidation type="list" allowBlank="1" errorTitle="输入无效" error="请选择下拉列表中的值" promptTitle="可选值" prompt="请从列表中选择" sqref="J4:J7" xr:uid="{00000000-0002-0000-0100-000002000000}">
      <formula1>"未执行,通过,失败,阻塞,不适用"</formula1>
    </dataValidation>
    <dataValidation type="list" allowBlank="1" errorTitle="输入无效" error="请选择下拉列表中的值" promptTitle="可选值" prompt="请从列表中选择" sqref="K4:K7" xr:uid="{00000000-0002-0000-0100-000003000000}">
      <formula1>"是,否"</formula1>
    </dataValidation>
    <dataValidation type="list" allowBlank="1" errorTitle="输入无效" error="请选择下拉列表中的值" promptTitle="可选值" prompt="请从列表中选择" sqref="L4:L7" xr:uid="{00000000-0002-0000-0100-000004000000}">
      <formula1>"阻塞,高,中,低,轻微"</formula1>
    </dataValidation>
    <dataValidation type="list" allowBlank="1" errorTitle="输入无效" error="请选择下拉列表中的值" promptTitle="可选值" prompt="请从列表中选择" sqref="O4:O7" xr:uid="{00000000-0002-0000-0100-000005000000}">
      <formula1>"已完成,待讨论,暂不修复"</formula1>
    </dataValidation>
    <dataValidation type="list" allowBlank="1" errorTitle="输入无效" error="请选择下拉列表中的值" promptTitle="可选值" prompt="请从列表中选择" sqref="P4:P7" xr:uid="{00000000-0002-0000-0100-000006000000}">
      <formula1>"通过,不通过"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7"/>
  <sheetViews>
    <sheetView showGridLines="0" workbookViewId="0">
      <pane xSplit="5" ySplit="3" topLeftCell="F4" activePane="bottomRight" state="frozen"/>
      <selection pane="topRight"/>
      <selection pane="bottomLeft"/>
      <selection pane="bottomRight"/>
    </sheetView>
  </sheetViews>
  <sheetFormatPr defaultRowHeight="14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spans="1:16" ht="34" customHeight="1">
      <c r="A1" s="13" t="s">
        <v>82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6" customHeight="1">
      <c r="A2" s="19" t="s">
        <v>42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36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</row>
    <row r="4" spans="1:16" ht="127" customHeight="1">
      <c r="A4" s="7" t="s">
        <v>83</v>
      </c>
      <c r="B4" s="7" t="s">
        <v>22</v>
      </c>
      <c r="C4" s="8" t="s">
        <v>84</v>
      </c>
      <c r="D4" s="7" t="s">
        <v>15</v>
      </c>
      <c r="E4" s="7" t="s">
        <v>61</v>
      </c>
      <c r="F4" s="8" t="s">
        <v>85</v>
      </c>
      <c r="G4" s="8" t="s">
        <v>86</v>
      </c>
      <c r="H4" s="8" t="s">
        <v>87</v>
      </c>
      <c r="I4" s="8" t="s">
        <v>247</v>
      </c>
      <c r="J4" s="9" t="s">
        <v>247</v>
      </c>
      <c r="K4" s="9" t="s">
        <v>251</v>
      </c>
      <c r="L4" s="9"/>
      <c r="M4" s="10" t="s">
        <v>264</v>
      </c>
      <c r="N4" s="10"/>
      <c r="O4" s="9"/>
      <c r="P4" s="9"/>
    </row>
    <row r="5" spans="1:16" ht="127" customHeight="1">
      <c r="A5" s="11" t="s">
        <v>88</v>
      </c>
      <c r="B5" s="11" t="s">
        <v>22</v>
      </c>
      <c r="C5" s="12" t="s">
        <v>89</v>
      </c>
      <c r="D5" s="11" t="s">
        <v>15</v>
      </c>
      <c r="E5" s="11" t="s">
        <v>67</v>
      </c>
      <c r="F5" s="12" t="s">
        <v>90</v>
      </c>
      <c r="G5" s="12" t="s">
        <v>91</v>
      </c>
      <c r="H5" s="12" t="s">
        <v>92</v>
      </c>
      <c r="I5" s="12" t="s">
        <v>247</v>
      </c>
      <c r="J5" s="9" t="s">
        <v>247</v>
      </c>
      <c r="K5" s="9" t="s">
        <v>251</v>
      </c>
      <c r="L5" s="9"/>
      <c r="M5" s="10" t="s">
        <v>265</v>
      </c>
      <c r="N5" s="10"/>
      <c r="O5" s="9"/>
      <c r="P5" s="9"/>
    </row>
    <row r="6" spans="1:16" ht="127" customHeight="1">
      <c r="A6" s="7" t="s">
        <v>93</v>
      </c>
      <c r="B6" s="7" t="s">
        <v>22</v>
      </c>
      <c r="C6" s="8" t="s">
        <v>94</v>
      </c>
      <c r="D6" s="7" t="s">
        <v>15</v>
      </c>
      <c r="E6" s="7" t="s">
        <v>95</v>
      </c>
      <c r="F6" s="8" t="s">
        <v>96</v>
      </c>
      <c r="G6" s="8" t="s">
        <v>97</v>
      </c>
      <c r="H6" s="8" t="s">
        <v>98</v>
      </c>
      <c r="I6" s="8" t="s">
        <v>249</v>
      </c>
      <c r="J6" s="9" t="s">
        <v>247</v>
      </c>
      <c r="K6" s="9" t="s">
        <v>252</v>
      </c>
      <c r="L6" s="9"/>
      <c r="M6" s="10" t="s">
        <v>266</v>
      </c>
      <c r="N6" s="10"/>
      <c r="O6" s="9"/>
      <c r="P6" s="9"/>
    </row>
    <row r="7" spans="1:16" ht="127" customHeight="1">
      <c r="A7" s="11" t="s">
        <v>99</v>
      </c>
      <c r="B7" s="11" t="s">
        <v>22</v>
      </c>
      <c r="C7" s="12" t="s">
        <v>100</v>
      </c>
      <c r="D7" s="11" t="s">
        <v>15</v>
      </c>
      <c r="E7" s="11" t="s">
        <v>101</v>
      </c>
      <c r="F7" s="12" t="s">
        <v>102</v>
      </c>
      <c r="G7" s="12" t="s">
        <v>103</v>
      </c>
      <c r="H7" s="12" t="s">
        <v>104</v>
      </c>
      <c r="I7" s="12" t="s">
        <v>249</v>
      </c>
      <c r="J7" s="9" t="s">
        <v>247</v>
      </c>
      <c r="K7" s="9" t="s">
        <v>252</v>
      </c>
      <c r="L7" s="9"/>
      <c r="M7" s="10" t="s">
        <v>277</v>
      </c>
      <c r="N7" s="10"/>
      <c r="O7" s="9"/>
      <c r="P7" s="9"/>
    </row>
  </sheetData>
  <mergeCells count="2">
    <mergeCell ref="A1:P1"/>
    <mergeCell ref="A2:P2"/>
  </mergeCells>
  <phoneticPr fontId="7" type="noConversion"/>
  <conditionalFormatting sqref="D4:D7">
    <cfRule type="expression" dxfId="125" priority="1">
      <formula>$D4="P0"</formula>
    </cfRule>
    <cfRule type="expression" dxfId="124" priority="2">
      <formula>$D4="P1"</formula>
    </cfRule>
  </conditionalFormatting>
  <conditionalFormatting sqref="J4:J7">
    <cfRule type="expression" dxfId="123" priority="3">
      <formula>$J4="通过"</formula>
    </cfRule>
    <cfRule type="expression" dxfId="122" priority="4">
      <formula>$J4="失败"</formula>
    </cfRule>
    <cfRule type="expression" dxfId="121" priority="5">
      <formula>$J4="阻塞"</formula>
    </cfRule>
    <cfRule type="expression" dxfId="120" priority="6">
      <formula>$J4="不适用"</formula>
    </cfRule>
  </conditionalFormatting>
  <conditionalFormatting sqref="K4:K7">
    <cfRule type="expression" dxfId="119" priority="7">
      <formula>$K4="是"</formula>
    </cfRule>
    <cfRule type="expression" dxfId="118" priority="8">
      <formula>$K4="否"</formula>
    </cfRule>
  </conditionalFormatting>
  <conditionalFormatting sqref="L4:L7">
    <cfRule type="expression" dxfId="117" priority="9">
      <formula>$L4="阻塞"</formula>
    </cfRule>
    <cfRule type="expression" dxfId="116" priority="10">
      <formula>$L4="高"</formula>
    </cfRule>
    <cfRule type="expression" dxfId="115" priority="11">
      <formula>$L4="中"</formula>
    </cfRule>
    <cfRule type="expression" dxfId="114" priority="12">
      <formula>$L4="低"</formula>
    </cfRule>
    <cfRule type="expression" dxfId="113" priority="13">
      <formula>$L4="轻微"</formula>
    </cfRule>
  </conditionalFormatting>
  <conditionalFormatting sqref="O4:O7">
    <cfRule type="expression" dxfId="112" priority="14">
      <formula>$O4="已完成"</formula>
    </cfRule>
    <cfRule type="expression" dxfId="111" priority="15">
      <formula>$O4="待讨论"</formula>
    </cfRule>
    <cfRule type="expression" dxfId="110" priority="16">
      <formula>$O4="暂不修复"</formula>
    </cfRule>
  </conditionalFormatting>
  <conditionalFormatting sqref="P4:P7">
    <cfRule type="expression" dxfId="109" priority="17">
      <formula>$P4="通过"</formula>
    </cfRule>
    <cfRule type="expression" dxfId="108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7" xr:uid="{00000000-0002-0000-0200-000000000000}">
      <formula1>"P0,P1,P2,P3"</formula1>
    </dataValidation>
    <dataValidation type="list" allowBlank="1" errorTitle="输入无效" error="请选择下拉列表中的值" promptTitle="可选值" prompt="请从列表中选择" sqref="E4:E7" xr:uid="{00000000-0002-0000-0200-000001000000}">
      <formula1>"功能,流程,校验,权限,安全,异常"</formula1>
    </dataValidation>
    <dataValidation type="list" allowBlank="1" errorTitle="输入无效" error="请选择下拉列表中的值" promptTitle="可选值" prompt="请从列表中选择" sqref="J4:J7" xr:uid="{00000000-0002-0000-0200-000002000000}">
      <formula1>"未执行,通过,失败,阻塞,不适用"</formula1>
    </dataValidation>
    <dataValidation type="list" allowBlank="1" errorTitle="输入无效" error="请选择下拉列表中的值" promptTitle="可选值" prompt="请从列表中选择" sqref="K4:K7" xr:uid="{00000000-0002-0000-0200-000003000000}">
      <formula1>"是,否"</formula1>
    </dataValidation>
    <dataValidation type="list" allowBlank="1" errorTitle="输入无效" error="请选择下拉列表中的值" promptTitle="可选值" prompt="请从列表中选择" sqref="L4:L7" xr:uid="{00000000-0002-0000-0200-000004000000}">
      <formula1>"阻塞,高,中,低,轻微"</formula1>
    </dataValidation>
    <dataValidation type="list" allowBlank="1" errorTitle="输入无效" error="请选择下拉列表中的值" promptTitle="可选值" prompt="请从列表中选择" sqref="O4:O7" xr:uid="{00000000-0002-0000-0200-000005000000}">
      <formula1>"已完成,待讨论,暂不修复"</formula1>
    </dataValidation>
    <dataValidation type="list" allowBlank="1" errorTitle="输入无效" error="请选择下拉列表中的值" promptTitle="可选值" prompt="请从列表中选择" sqref="P4:P7" xr:uid="{00000000-0002-0000-0200-000006000000}">
      <formula1>"通过,不通过"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9"/>
  <sheetViews>
    <sheetView showGridLines="0" workbookViewId="0">
      <pane xSplit="5" ySplit="3" topLeftCell="F4" activePane="bottomRight" state="frozen"/>
      <selection pane="topRight"/>
      <selection pane="bottomLeft"/>
      <selection pane="bottomRight"/>
    </sheetView>
  </sheetViews>
  <sheetFormatPr defaultRowHeight="14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spans="1:16" ht="34" customHeight="1">
      <c r="A1" s="13" t="s">
        <v>105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6" customHeight="1">
      <c r="A2" s="19" t="s">
        <v>42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36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</row>
    <row r="4" spans="1:16" ht="127" customHeight="1">
      <c r="A4" s="7" t="s">
        <v>106</v>
      </c>
      <c r="B4" s="7" t="s">
        <v>23</v>
      </c>
      <c r="C4" s="8" t="s">
        <v>107</v>
      </c>
      <c r="D4" s="7" t="s">
        <v>15</v>
      </c>
      <c r="E4" s="7" t="s">
        <v>61</v>
      </c>
      <c r="F4" s="8" t="s">
        <v>108</v>
      </c>
      <c r="G4" s="8" t="s">
        <v>109</v>
      </c>
      <c r="H4" s="8" t="s">
        <v>110</v>
      </c>
      <c r="I4" s="8" t="s">
        <v>247</v>
      </c>
      <c r="J4" s="9" t="s">
        <v>247</v>
      </c>
      <c r="K4" s="9" t="s">
        <v>251</v>
      </c>
      <c r="L4" s="9"/>
      <c r="M4" s="10" t="s">
        <v>267</v>
      </c>
      <c r="N4" s="10"/>
      <c r="O4" s="9"/>
      <c r="P4" s="9"/>
    </row>
    <row r="5" spans="1:16" ht="127" customHeight="1">
      <c r="A5" s="11" t="s">
        <v>111</v>
      </c>
      <c r="B5" s="11" t="s">
        <v>23</v>
      </c>
      <c r="C5" s="12" t="s">
        <v>112</v>
      </c>
      <c r="D5" s="11" t="s">
        <v>15</v>
      </c>
      <c r="E5" s="11" t="s">
        <v>61</v>
      </c>
      <c r="F5" s="12" t="s">
        <v>113</v>
      </c>
      <c r="G5" s="12" t="s">
        <v>114</v>
      </c>
      <c r="H5" s="12" t="s">
        <v>115</v>
      </c>
      <c r="I5" s="12" t="s">
        <v>249</v>
      </c>
      <c r="J5" s="9" t="s">
        <v>247</v>
      </c>
      <c r="K5" s="9" t="s">
        <v>252</v>
      </c>
      <c r="L5" s="9"/>
      <c r="M5" s="10" t="s">
        <v>268</v>
      </c>
      <c r="N5" s="10"/>
      <c r="O5" s="9"/>
      <c r="P5" s="9"/>
    </row>
    <row r="6" spans="1:16" ht="127" customHeight="1">
      <c r="A6" s="7" t="s">
        <v>116</v>
      </c>
      <c r="B6" s="7" t="s">
        <v>23</v>
      </c>
      <c r="C6" s="8" t="s">
        <v>117</v>
      </c>
      <c r="D6" s="7" t="s">
        <v>15</v>
      </c>
      <c r="E6" s="7" t="s">
        <v>61</v>
      </c>
      <c r="F6" s="8" t="s">
        <v>118</v>
      </c>
      <c r="G6" s="8" t="s">
        <v>119</v>
      </c>
      <c r="H6" s="8" t="s">
        <v>120</v>
      </c>
      <c r="I6" s="8" t="s">
        <v>249</v>
      </c>
      <c r="J6" s="9" t="s">
        <v>247</v>
      </c>
      <c r="K6" s="9" t="s">
        <v>252</v>
      </c>
      <c r="L6" s="9"/>
      <c r="M6" s="10" t="s">
        <v>281</v>
      </c>
      <c r="N6" s="10"/>
      <c r="O6" s="9"/>
      <c r="P6" s="9"/>
    </row>
    <row r="7" spans="1:16" ht="127" customHeight="1">
      <c r="A7" s="11" t="s">
        <v>121</v>
      </c>
      <c r="B7" s="11" t="s">
        <v>23</v>
      </c>
      <c r="C7" s="12" t="s">
        <v>122</v>
      </c>
      <c r="D7" s="11" t="s">
        <v>15</v>
      </c>
      <c r="E7" s="11" t="s">
        <v>123</v>
      </c>
      <c r="F7" s="12" t="s">
        <v>124</v>
      </c>
      <c r="G7" s="12" t="s">
        <v>125</v>
      </c>
      <c r="H7" s="12" t="s">
        <v>126</v>
      </c>
      <c r="I7" s="12" t="s">
        <v>247</v>
      </c>
      <c r="J7" s="9" t="s">
        <v>247</v>
      </c>
      <c r="K7" s="9" t="s">
        <v>251</v>
      </c>
      <c r="L7" s="9"/>
      <c r="M7" s="10" t="s">
        <v>269</v>
      </c>
      <c r="N7" s="10"/>
      <c r="O7" s="9"/>
      <c r="P7" s="9"/>
    </row>
    <row r="8" spans="1:16" ht="127" customHeight="1">
      <c r="A8" s="7" t="s">
        <v>127</v>
      </c>
      <c r="B8" s="7" t="s">
        <v>23</v>
      </c>
      <c r="C8" s="8" t="s">
        <v>128</v>
      </c>
      <c r="D8" s="7" t="s">
        <v>15</v>
      </c>
      <c r="E8" s="7" t="s">
        <v>123</v>
      </c>
      <c r="F8" s="8" t="s">
        <v>129</v>
      </c>
      <c r="G8" s="8" t="s">
        <v>130</v>
      </c>
      <c r="H8" s="8" t="s">
        <v>131</v>
      </c>
      <c r="I8" s="8" t="s">
        <v>247</v>
      </c>
      <c r="J8" s="9" t="s">
        <v>247</v>
      </c>
      <c r="K8" s="9" t="s">
        <v>251</v>
      </c>
      <c r="L8" s="9"/>
      <c r="M8" s="10" t="s">
        <v>270</v>
      </c>
      <c r="N8" s="10"/>
      <c r="O8" s="9"/>
      <c r="P8" s="9"/>
    </row>
    <row r="9" spans="1:16" ht="127" customHeight="1">
      <c r="A9" s="11" t="s">
        <v>132</v>
      </c>
      <c r="B9" s="11" t="s">
        <v>23</v>
      </c>
      <c r="C9" s="12" t="s">
        <v>133</v>
      </c>
      <c r="D9" s="11" t="s">
        <v>15</v>
      </c>
      <c r="E9" s="11" t="s">
        <v>101</v>
      </c>
      <c r="F9" s="12" t="s">
        <v>134</v>
      </c>
      <c r="G9" s="12" t="s">
        <v>135</v>
      </c>
      <c r="H9" s="12" t="s">
        <v>136</v>
      </c>
      <c r="I9" s="12" t="s">
        <v>249</v>
      </c>
      <c r="J9" s="9" t="s">
        <v>247</v>
      </c>
      <c r="K9" s="9" t="s">
        <v>251</v>
      </c>
      <c r="L9" s="9"/>
      <c r="M9" s="10" t="s">
        <v>271</v>
      </c>
      <c r="N9" s="10"/>
      <c r="O9" s="9"/>
      <c r="P9" s="9"/>
    </row>
  </sheetData>
  <mergeCells count="2">
    <mergeCell ref="A1:P1"/>
    <mergeCell ref="A2:P2"/>
  </mergeCells>
  <phoneticPr fontId="7" type="noConversion"/>
  <conditionalFormatting sqref="D4:D9">
    <cfRule type="expression" dxfId="107" priority="1">
      <formula>$D4="P0"</formula>
    </cfRule>
    <cfRule type="expression" dxfId="106" priority="2">
      <formula>$D4="P1"</formula>
    </cfRule>
  </conditionalFormatting>
  <conditionalFormatting sqref="J4:J9">
    <cfRule type="expression" dxfId="105" priority="3">
      <formula>$J4="通过"</formula>
    </cfRule>
    <cfRule type="expression" dxfId="104" priority="4">
      <formula>$J4="失败"</formula>
    </cfRule>
    <cfRule type="expression" dxfId="103" priority="5">
      <formula>$J4="阻塞"</formula>
    </cfRule>
    <cfRule type="expression" dxfId="102" priority="6">
      <formula>$J4="不适用"</formula>
    </cfRule>
  </conditionalFormatting>
  <conditionalFormatting sqref="K4:K9">
    <cfRule type="expression" dxfId="101" priority="7">
      <formula>$K4="是"</formula>
    </cfRule>
    <cfRule type="expression" dxfId="100" priority="8">
      <formula>$K4="否"</formula>
    </cfRule>
  </conditionalFormatting>
  <conditionalFormatting sqref="L4:L9">
    <cfRule type="expression" dxfId="99" priority="9">
      <formula>$L4="阻塞"</formula>
    </cfRule>
    <cfRule type="expression" dxfId="98" priority="10">
      <formula>$L4="高"</formula>
    </cfRule>
    <cfRule type="expression" dxfId="97" priority="11">
      <formula>$L4="中"</formula>
    </cfRule>
    <cfRule type="expression" dxfId="96" priority="12">
      <formula>$L4="低"</formula>
    </cfRule>
    <cfRule type="expression" dxfId="95" priority="13">
      <formula>$L4="轻微"</formula>
    </cfRule>
  </conditionalFormatting>
  <conditionalFormatting sqref="O4:O9">
    <cfRule type="expression" dxfId="94" priority="14">
      <formula>$O4="已完成"</formula>
    </cfRule>
    <cfRule type="expression" dxfId="93" priority="15">
      <formula>$O4="待讨论"</formula>
    </cfRule>
    <cfRule type="expression" dxfId="92" priority="16">
      <formula>$O4="暂不修复"</formula>
    </cfRule>
  </conditionalFormatting>
  <conditionalFormatting sqref="P4:P9">
    <cfRule type="expression" dxfId="91" priority="17">
      <formula>$P4="通过"</formula>
    </cfRule>
    <cfRule type="expression" dxfId="90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9" xr:uid="{00000000-0002-0000-0300-000000000000}">
      <formula1>"P0,P1,P2,P3"</formula1>
    </dataValidation>
    <dataValidation type="list" allowBlank="1" errorTitle="输入无效" error="请选择下拉列表中的值" promptTitle="可选值" prompt="请从列表中选择" sqref="E4:E9" xr:uid="{00000000-0002-0000-0300-000001000000}">
      <formula1>"功能,流程,校验,权限,安全,异常"</formula1>
    </dataValidation>
    <dataValidation type="list" allowBlank="1" errorTitle="输入无效" error="请选择下拉列表中的值" promptTitle="可选值" prompt="请从列表中选择" sqref="J4:J9" xr:uid="{00000000-0002-0000-0300-000002000000}">
      <formula1>"未执行,通过,失败,阻塞,不适用"</formula1>
    </dataValidation>
    <dataValidation type="list" allowBlank="1" errorTitle="输入无效" error="请选择下拉列表中的值" promptTitle="可选值" prompt="请从列表中选择" sqref="K4:K9" xr:uid="{00000000-0002-0000-0300-000003000000}">
      <formula1>"是,否"</formula1>
    </dataValidation>
    <dataValidation type="list" allowBlank="1" errorTitle="输入无效" error="请选择下拉列表中的值" promptTitle="可选值" prompt="请从列表中选择" sqref="L4:L9" xr:uid="{00000000-0002-0000-0300-000004000000}">
      <formula1>"阻塞,高,中,低,轻微"</formula1>
    </dataValidation>
    <dataValidation type="list" allowBlank="1" errorTitle="输入无效" error="请选择下拉列表中的值" promptTitle="可选值" prompt="请从列表中选择" sqref="O4:O9" xr:uid="{00000000-0002-0000-0300-000005000000}">
      <formula1>"已完成,待讨论,暂不修复"</formula1>
    </dataValidation>
    <dataValidation type="list" allowBlank="1" errorTitle="输入无效" error="请选择下拉列表中的值" promptTitle="可选值" prompt="请从列表中选择" sqref="P4:P9" xr:uid="{00000000-0002-0000-0300-000006000000}">
      <formula1>"通过,不通过"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8"/>
  <sheetViews>
    <sheetView showGridLines="0" workbookViewId="0">
      <pane xSplit="5" ySplit="3" topLeftCell="F4" activePane="bottomRight" state="frozen"/>
      <selection pane="topRight"/>
      <selection pane="bottomLeft"/>
      <selection pane="bottomRight"/>
    </sheetView>
  </sheetViews>
  <sheetFormatPr defaultRowHeight="14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spans="1:16" ht="34" customHeight="1">
      <c r="A1" s="13" t="s">
        <v>137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6" customHeight="1">
      <c r="A2" s="19" t="s">
        <v>42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36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</row>
    <row r="4" spans="1:16" ht="127" customHeight="1">
      <c r="A4" s="7" t="s">
        <v>138</v>
      </c>
      <c r="B4" s="7" t="s">
        <v>24</v>
      </c>
      <c r="C4" s="8" t="s">
        <v>139</v>
      </c>
      <c r="D4" s="7" t="s">
        <v>15</v>
      </c>
      <c r="E4" s="7" t="s">
        <v>67</v>
      </c>
      <c r="F4" s="8" t="s">
        <v>140</v>
      </c>
      <c r="G4" s="8" t="s">
        <v>141</v>
      </c>
      <c r="H4" s="8" t="s">
        <v>142</v>
      </c>
      <c r="I4" s="8" t="s">
        <v>247</v>
      </c>
      <c r="J4" s="9" t="s">
        <v>247</v>
      </c>
      <c r="K4" s="9" t="s">
        <v>251</v>
      </c>
      <c r="L4" s="9"/>
      <c r="M4" s="10" t="s">
        <v>261</v>
      </c>
      <c r="N4" s="10"/>
      <c r="O4" s="9"/>
      <c r="P4" s="9"/>
    </row>
    <row r="5" spans="1:16" ht="127" customHeight="1">
      <c r="A5" s="11" t="s">
        <v>143</v>
      </c>
      <c r="B5" s="11" t="s">
        <v>24</v>
      </c>
      <c r="C5" s="12" t="s">
        <v>144</v>
      </c>
      <c r="D5" s="11" t="s">
        <v>15</v>
      </c>
      <c r="E5" s="11" t="s">
        <v>61</v>
      </c>
      <c r="F5" s="12" t="s">
        <v>145</v>
      </c>
      <c r="G5" s="12" t="s">
        <v>146</v>
      </c>
      <c r="H5" s="12" t="s">
        <v>147</v>
      </c>
      <c r="I5" s="12" t="s">
        <v>247</v>
      </c>
      <c r="J5" s="9" t="s">
        <v>247</v>
      </c>
      <c r="K5" s="9" t="s">
        <v>251</v>
      </c>
      <c r="L5" s="9"/>
      <c r="M5" s="10" t="s">
        <v>285</v>
      </c>
      <c r="N5" s="10"/>
      <c r="O5" s="9"/>
      <c r="P5" s="9"/>
    </row>
    <row r="6" spans="1:16" ht="127" customHeight="1">
      <c r="A6" s="7" t="s">
        <v>148</v>
      </c>
      <c r="B6" s="7" t="s">
        <v>24</v>
      </c>
      <c r="C6" s="8" t="s">
        <v>149</v>
      </c>
      <c r="D6" s="7" t="s">
        <v>15</v>
      </c>
      <c r="E6" s="7" t="s">
        <v>101</v>
      </c>
      <c r="F6" s="8" t="s">
        <v>150</v>
      </c>
      <c r="G6" s="8" t="s">
        <v>151</v>
      </c>
      <c r="H6" s="8" t="s">
        <v>152</v>
      </c>
      <c r="I6" s="8" t="s">
        <v>249</v>
      </c>
      <c r="J6" s="9" t="s">
        <v>247</v>
      </c>
      <c r="K6" s="9" t="s">
        <v>252</v>
      </c>
      <c r="L6" s="9"/>
      <c r="M6" s="10" t="s">
        <v>286</v>
      </c>
      <c r="N6" s="10"/>
      <c r="O6" s="9"/>
      <c r="P6" s="9"/>
    </row>
    <row r="7" spans="1:16" ht="127" customHeight="1">
      <c r="A7" s="11" t="s">
        <v>153</v>
      </c>
      <c r="B7" s="11" t="s">
        <v>24</v>
      </c>
      <c r="C7" s="12" t="s">
        <v>154</v>
      </c>
      <c r="D7" s="11" t="s">
        <v>15</v>
      </c>
      <c r="E7" s="11" t="s">
        <v>61</v>
      </c>
      <c r="F7" s="12" t="s">
        <v>155</v>
      </c>
      <c r="G7" s="12" t="s">
        <v>156</v>
      </c>
      <c r="H7" s="12" t="s">
        <v>157</v>
      </c>
      <c r="I7" s="12" t="s">
        <v>249</v>
      </c>
      <c r="J7" s="9" t="s">
        <v>247</v>
      </c>
      <c r="K7" s="9" t="s">
        <v>252</v>
      </c>
      <c r="L7" s="9"/>
      <c r="M7" s="10" t="s">
        <v>287</v>
      </c>
      <c r="N7" s="10"/>
      <c r="O7" s="9"/>
      <c r="P7" s="9"/>
    </row>
    <row r="8" spans="1:16" ht="127" customHeight="1">
      <c r="A8" s="7" t="s">
        <v>158</v>
      </c>
      <c r="B8" s="7" t="s">
        <v>24</v>
      </c>
      <c r="C8" s="8" t="s">
        <v>159</v>
      </c>
      <c r="D8" s="7" t="s">
        <v>15</v>
      </c>
      <c r="E8" s="7" t="s">
        <v>67</v>
      </c>
      <c r="F8" s="8" t="s">
        <v>160</v>
      </c>
      <c r="G8" s="8" t="s">
        <v>161</v>
      </c>
      <c r="H8" s="8" t="s">
        <v>162</v>
      </c>
      <c r="I8" s="8" t="s">
        <v>249</v>
      </c>
      <c r="J8" s="9" t="s">
        <v>247</v>
      </c>
      <c r="K8" s="9" t="s">
        <v>252</v>
      </c>
      <c r="L8" s="9"/>
      <c r="M8" s="10" t="s">
        <v>262</v>
      </c>
      <c r="N8" s="10"/>
      <c r="O8" s="9"/>
      <c r="P8" s="9"/>
    </row>
  </sheetData>
  <mergeCells count="2">
    <mergeCell ref="A1:P1"/>
    <mergeCell ref="A2:P2"/>
  </mergeCells>
  <phoneticPr fontId="7" type="noConversion"/>
  <conditionalFormatting sqref="D4:D8">
    <cfRule type="expression" dxfId="89" priority="1">
      <formula>$D4="P0"</formula>
    </cfRule>
    <cfRule type="expression" dxfId="88" priority="2">
      <formula>$D4="P1"</formula>
    </cfRule>
  </conditionalFormatting>
  <conditionalFormatting sqref="J4:J8">
    <cfRule type="expression" dxfId="87" priority="3">
      <formula>$J4="通过"</formula>
    </cfRule>
    <cfRule type="expression" dxfId="86" priority="4">
      <formula>$J4="失败"</formula>
    </cfRule>
    <cfRule type="expression" dxfId="85" priority="5">
      <formula>$J4="阻塞"</formula>
    </cfRule>
    <cfRule type="expression" dxfId="84" priority="6">
      <formula>$J4="不适用"</formula>
    </cfRule>
  </conditionalFormatting>
  <conditionalFormatting sqref="K4:K8">
    <cfRule type="expression" dxfId="83" priority="7">
      <formula>$K4="是"</formula>
    </cfRule>
    <cfRule type="expression" dxfId="82" priority="8">
      <formula>$K4="否"</formula>
    </cfRule>
  </conditionalFormatting>
  <conditionalFormatting sqref="L4:L8">
    <cfRule type="expression" dxfId="81" priority="9">
      <formula>$L4="阻塞"</formula>
    </cfRule>
    <cfRule type="expression" dxfId="80" priority="10">
      <formula>$L4="高"</formula>
    </cfRule>
    <cfRule type="expression" dxfId="79" priority="11">
      <formula>$L4="中"</formula>
    </cfRule>
    <cfRule type="expression" dxfId="78" priority="12">
      <formula>$L4="低"</formula>
    </cfRule>
    <cfRule type="expression" dxfId="77" priority="13">
      <formula>$L4="轻微"</formula>
    </cfRule>
  </conditionalFormatting>
  <conditionalFormatting sqref="O4:O8">
    <cfRule type="expression" dxfId="76" priority="14">
      <formula>$O4="已完成"</formula>
    </cfRule>
    <cfRule type="expression" dxfId="75" priority="15">
      <formula>$O4="待讨论"</formula>
    </cfRule>
    <cfRule type="expression" dxfId="74" priority="16">
      <formula>$O4="暂不修复"</formula>
    </cfRule>
  </conditionalFormatting>
  <conditionalFormatting sqref="P4:P8">
    <cfRule type="expression" dxfId="73" priority="17">
      <formula>$P4="通过"</formula>
    </cfRule>
    <cfRule type="expression" dxfId="72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8" xr:uid="{00000000-0002-0000-0400-000000000000}">
      <formula1>"P0,P1,P2,P3"</formula1>
    </dataValidation>
    <dataValidation type="list" allowBlank="1" errorTitle="输入无效" error="请选择下拉列表中的值" promptTitle="可选值" prompt="请从列表中选择" sqref="E4:E8" xr:uid="{00000000-0002-0000-0400-000001000000}">
      <formula1>"功能,流程,校验,权限,安全,异常"</formula1>
    </dataValidation>
    <dataValidation type="list" allowBlank="1" errorTitle="输入无效" error="请选择下拉列表中的值" promptTitle="可选值" prompt="请从列表中选择" sqref="J4:J8" xr:uid="{00000000-0002-0000-0400-000002000000}">
      <formula1>"未执行,通过,失败,阻塞,不适用"</formula1>
    </dataValidation>
    <dataValidation type="list" allowBlank="1" errorTitle="输入无效" error="请选择下拉列表中的值" promptTitle="可选值" prompt="请从列表中选择" sqref="K4:K8" xr:uid="{00000000-0002-0000-0400-000003000000}">
      <formula1>"是,否"</formula1>
    </dataValidation>
    <dataValidation type="list" allowBlank="1" errorTitle="输入无效" error="请选择下拉列表中的值" promptTitle="可选值" prompt="请从列表中选择" sqref="L4:L8" xr:uid="{00000000-0002-0000-0400-000004000000}">
      <formula1>"阻塞,高,中,低,轻微"</formula1>
    </dataValidation>
    <dataValidation type="list" allowBlank="1" errorTitle="输入无效" error="请选择下拉列表中的值" promptTitle="可选值" prompt="请从列表中选择" sqref="O4:O8" xr:uid="{00000000-0002-0000-0400-000005000000}">
      <formula1>"已完成,待讨论,暂不修复"</formula1>
    </dataValidation>
    <dataValidation type="list" allowBlank="1" errorTitle="输入无效" error="请选择下拉列表中的值" promptTitle="可选值" prompt="请从列表中选择" sqref="P4:P8" xr:uid="{00000000-0002-0000-0400-000006000000}">
      <formula1>"通过,不通过"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8"/>
  <sheetViews>
    <sheetView showGridLines="0" workbookViewId="0">
      <pane xSplit="5" ySplit="3" topLeftCell="F4" activePane="bottomRight" state="frozen"/>
      <selection pane="topRight"/>
      <selection pane="bottomLeft"/>
      <selection pane="bottomRight"/>
    </sheetView>
  </sheetViews>
  <sheetFormatPr defaultRowHeight="14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spans="1:16" ht="34" customHeight="1">
      <c r="A1" s="13" t="s">
        <v>163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6" customHeight="1">
      <c r="A2" s="19" t="s">
        <v>42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36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</row>
    <row r="4" spans="1:16" ht="127" customHeight="1">
      <c r="A4" s="7" t="s">
        <v>164</v>
      </c>
      <c r="B4" s="7" t="s">
        <v>25</v>
      </c>
      <c r="C4" s="8" t="s">
        <v>165</v>
      </c>
      <c r="D4" s="7" t="s">
        <v>15</v>
      </c>
      <c r="E4" s="7" t="s">
        <v>61</v>
      </c>
      <c r="F4" s="8" t="s">
        <v>166</v>
      </c>
      <c r="G4" s="8" t="s">
        <v>167</v>
      </c>
      <c r="H4" s="8" t="s">
        <v>168</v>
      </c>
      <c r="I4" s="8" t="s">
        <v>247</v>
      </c>
      <c r="J4" s="9" t="s">
        <v>247</v>
      </c>
      <c r="K4" s="9" t="s">
        <v>251</v>
      </c>
      <c r="L4" s="9"/>
      <c r="M4" s="10" t="s">
        <v>272</v>
      </c>
      <c r="N4" s="10"/>
      <c r="O4" s="9"/>
      <c r="P4" s="9"/>
    </row>
    <row r="5" spans="1:16" ht="127" customHeight="1">
      <c r="A5" s="11" t="s">
        <v>169</v>
      </c>
      <c r="B5" s="11" t="s">
        <v>25</v>
      </c>
      <c r="C5" s="12" t="s">
        <v>170</v>
      </c>
      <c r="D5" s="11" t="s">
        <v>15</v>
      </c>
      <c r="E5" s="11" t="s">
        <v>61</v>
      </c>
      <c r="F5" s="12" t="s">
        <v>171</v>
      </c>
      <c r="G5" s="12" t="s">
        <v>172</v>
      </c>
      <c r="H5" s="12" t="s">
        <v>173</v>
      </c>
      <c r="I5" s="12" t="s">
        <v>249</v>
      </c>
      <c r="J5" s="9" t="s">
        <v>247</v>
      </c>
      <c r="K5" s="9" t="s">
        <v>252</v>
      </c>
      <c r="L5" s="9"/>
      <c r="M5" s="10" t="s">
        <v>273</v>
      </c>
      <c r="N5" s="10"/>
      <c r="O5" s="9"/>
      <c r="P5" s="9"/>
    </row>
    <row r="6" spans="1:16" ht="127" customHeight="1">
      <c r="A6" s="7" t="s">
        <v>174</v>
      </c>
      <c r="B6" s="7" t="s">
        <v>25</v>
      </c>
      <c r="C6" s="8" t="s">
        <v>175</v>
      </c>
      <c r="D6" s="7" t="s">
        <v>15</v>
      </c>
      <c r="E6" s="7" t="s">
        <v>101</v>
      </c>
      <c r="F6" s="8" t="s">
        <v>176</v>
      </c>
      <c r="G6" s="8" t="s">
        <v>177</v>
      </c>
      <c r="H6" s="8" t="s">
        <v>178</v>
      </c>
      <c r="I6" s="8" t="s">
        <v>249</v>
      </c>
      <c r="J6" s="9" t="s">
        <v>247</v>
      </c>
      <c r="K6" s="9" t="s">
        <v>251</v>
      </c>
      <c r="L6" s="9"/>
      <c r="M6" s="10" t="s">
        <v>274</v>
      </c>
      <c r="N6" s="10"/>
      <c r="O6" s="9"/>
      <c r="P6" s="9"/>
    </row>
    <row r="7" spans="1:16" ht="127" customHeight="1">
      <c r="A7" s="11" t="s">
        <v>179</v>
      </c>
      <c r="B7" s="11" t="s">
        <v>25</v>
      </c>
      <c r="C7" s="12" t="s">
        <v>180</v>
      </c>
      <c r="D7" s="11" t="s">
        <v>15</v>
      </c>
      <c r="E7" s="11" t="s">
        <v>61</v>
      </c>
      <c r="F7" s="12" t="s">
        <v>181</v>
      </c>
      <c r="G7" s="12" t="s">
        <v>182</v>
      </c>
      <c r="H7" s="12" t="s">
        <v>183</v>
      </c>
      <c r="I7" s="12" t="s">
        <v>249</v>
      </c>
      <c r="J7" s="9" t="s">
        <v>247</v>
      </c>
      <c r="K7" s="9" t="s">
        <v>251</v>
      </c>
      <c r="L7" s="9"/>
      <c r="M7" s="10" t="s">
        <v>278</v>
      </c>
      <c r="N7" s="10"/>
      <c r="O7" s="9"/>
      <c r="P7" s="9"/>
    </row>
    <row r="8" spans="1:16" ht="127" customHeight="1">
      <c r="A8" s="7" t="s">
        <v>184</v>
      </c>
      <c r="B8" s="7" t="s">
        <v>25</v>
      </c>
      <c r="C8" s="8" t="s">
        <v>185</v>
      </c>
      <c r="D8" s="7" t="s">
        <v>15</v>
      </c>
      <c r="E8" s="7" t="s">
        <v>101</v>
      </c>
      <c r="F8" s="8" t="s">
        <v>186</v>
      </c>
      <c r="G8" s="8" t="s">
        <v>187</v>
      </c>
      <c r="H8" s="8" t="s">
        <v>188</v>
      </c>
      <c r="I8" s="8" t="s">
        <v>249</v>
      </c>
      <c r="J8" s="9" t="s">
        <v>247</v>
      </c>
      <c r="K8" s="9" t="s">
        <v>252</v>
      </c>
      <c r="L8" s="9"/>
      <c r="M8" s="10" t="s">
        <v>279</v>
      </c>
      <c r="N8" s="10"/>
      <c r="O8" s="9"/>
      <c r="P8" s="9"/>
    </row>
  </sheetData>
  <mergeCells count="2">
    <mergeCell ref="A1:P1"/>
    <mergeCell ref="A2:P2"/>
  </mergeCells>
  <phoneticPr fontId="7" type="noConversion"/>
  <conditionalFormatting sqref="D4:D8">
    <cfRule type="expression" dxfId="71" priority="1">
      <formula>$D4="P0"</formula>
    </cfRule>
    <cfRule type="expression" dxfId="70" priority="2">
      <formula>$D4="P1"</formula>
    </cfRule>
  </conditionalFormatting>
  <conditionalFormatting sqref="J4:J8">
    <cfRule type="expression" dxfId="69" priority="3">
      <formula>$J4="通过"</formula>
    </cfRule>
    <cfRule type="expression" dxfId="68" priority="4">
      <formula>$J4="失败"</formula>
    </cfRule>
    <cfRule type="expression" dxfId="67" priority="5">
      <formula>$J4="阻塞"</formula>
    </cfRule>
    <cfRule type="expression" dxfId="66" priority="6">
      <formula>$J4="不适用"</formula>
    </cfRule>
  </conditionalFormatting>
  <conditionalFormatting sqref="K4:K8">
    <cfRule type="expression" dxfId="65" priority="7">
      <formula>$K4="是"</formula>
    </cfRule>
    <cfRule type="expression" dxfId="64" priority="8">
      <formula>$K4="否"</formula>
    </cfRule>
  </conditionalFormatting>
  <conditionalFormatting sqref="L4:L8">
    <cfRule type="expression" dxfId="63" priority="9">
      <formula>$L4="阻塞"</formula>
    </cfRule>
    <cfRule type="expression" dxfId="62" priority="10">
      <formula>$L4="高"</formula>
    </cfRule>
    <cfRule type="expression" dxfId="61" priority="11">
      <formula>$L4="中"</formula>
    </cfRule>
    <cfRule type="expression" dxfId="60" priority="12">
      <formula>$L4="低"</formula>
    </cfRule>
    <cfRule type="expression" dxfId="59" priority="13">
      <formula>$L4="轻微"</formula>
    </cfRule>
  </conditionalFormatting>
  <conditionalFormatting sqref="O4:O8">
    <cfRule type="expression" dxfId="58" priority="14">
      <formula>$O4="已完成"</formula>
    </cfRule>
    <cfRule type="expression" dxfId="57" priority="15">
      <formula>$O4="待讨论"</formula>
    </cfRule>
    <cfRule type="expression" dxfId="56" priority="16">
      <formula>$O4="暂不修复"</formula>
    </cfRule>
  </conditionalFormatting>
  <conditionalFormatting sqref="P4:P8">
    <cfRule type="expression" dxfId="55" priority="17">
      <formula>$P4="通过"</formula>
    </cfRule>
    <cfRule type="expression" dxfId="54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8" xr:uid="{00000000-0002-0000-0500-000000000000}">
      <formula1>"P0,P1,P2,P3"</formula1>
    </dataValidation>
    <dataValidation type="list" allowBlank="1" errorTitle="输入无效" error="请选择下拉列表中的值" promptTitle="可选值" prompt="请从列表中选择" sqref="E4:E8" xr:uid="{00000000-0002-0000-0500-000001000000}">
      <formula1>"功能,流程,校验,权限,安全,异常"</formula1>
    </dataValidation>
    <dataValidation type="list" allowBlank="1" errorTitle="输入无效" error="请选择下拉列表中的值" promptTitle="可选值" prompt="请从列表中选择" sqref="J4:J8" xr:uid="{00000000-0002-0000-0500-000002000000}">
      <formula1>"未执行,通过,失败,阻塞,不适用"</formula1>
    </dataValidation>
    <dataValidation type="list" allowBlank="1" errorTitle="输入无效" error="请选择下拉列表中的值" promptTitle="可选值" prompt="请从列表中选择" sqref="K4:K8" xr:uid="{00000000-0002-0000-0500-000003000000}">
      <formula1>"是,否"</formula1>
    </dataValidation>
    <dataValidation type="list" allowBlank="1" errorTitle="输入无效" error="请选择下拉列表中的值" promptTitle="可选值" prompt="请从列表中选择" sqref="L4:L8" xr:uid="{00000000-0002-0000-0500-000004000000}">
      <formula1>"阻塞,高,中,低,轻微"</formula1>
    </dataValidation>
    <dataValidation type="list" allowBlank="1" errorTitle="输入无效" error="请选择下拉列表中的值" promptTitle="可选值" prompt="请从列表中选择" sqref="O4:O8" xr:uid="{00000000-0002-0000-0500-000005000000}">
      <formula1>"已完成,待讨论,暂不修复"</formula1>
    </dataValidation>
    <dataValidation type="list" allowBlank="1" errorTitle="输入无效" error="请选择下拉列表中的值" promptTitle="可选值" prompt="请从列表中选择" sqref="P4:P8" xr:uid="{00000000-0002-0000-0500-000006000000}">
      <formula1>"通过,不通过"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8"/>
  <sheetViews>
    <sheetView showGridLines="0" workbookViewId="0">
      <pane xSplit="5" ySplit="3" topLeftCell="F4" activePane="bottomRight" state="frozen"/>
      <selection pane="topRight"/>
      <selection pane="bottomLeft"/>
      <selection pane="bottomRight"/>
    </sheetView>
  </sheetViews>
  <sheetFormatPr defaultRowHeight="14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spans="1:16" ht="34" customHeight="1">
      <c r="A1" s="13" t="s">
        <v>189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6" customHeight="1">
      <c r="A2" s="19" t="s">
        <v>42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36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</row>
    <row r="4" spans="1:16" ht="127" customHeight="1">
      <c r="A4" s="7" t="s">
        <v>190</v>
      </c>
      <c r="B4" s="7" t="s">
        <v>26</v>
      </c>
      <c r="C4" s="8" t="s">
        <v>191</v>
      </c>
      <c r="D4" s="7" t="s">
        <v>15</v>
      </c>
      <c r="E4" s="7" t="s">
        <v>123</v>
      </c>
      <c r="F4" s="8" t="s">
        <v>192</v>
      </c>
      <c r="G4" s="8" t="s">
        <v>193</v>
      </c>
      <c r="H4" s="8" t="s">
        <v>194</v>
      </c>
      <c r="I4" s="8" t="s">
        <v>247</v>
      </c>
      <c r="J4" s="9" t="s">
        <v>247</v>
      </c>
      <c r="K4" s="9" t="s">
        <v>251</v>
      </c>
      <c r="L4" s="9"/>
      <c r="M4" s="10" t="s">
        <v>253</v>
      </c>
      <c r="N4" s="10"/>
      <c r="O4" s="9"/>
      <c r="P4" s="9"/>
    </row>
    <row r="5" spans="1:16" ht="127" customHeight="1">
      <c r="A5" s="11" t="s">
        <v>195</v>
      </c>
      <c r="B5" s="11" t="s">
        <v>26</v>
      </c>
      <c r="C5" s="12" t="s">
        <v>196</v>
      </c>
      <c r="D5" s="11" t="s">
        <v>15</v>
      </c>
      <c r="E5" s="11" t="s">
        <v>61</v>
      </c>
      <c r="F5" s="12" t="s">
        <v>197</v>
      </c>
      <c r="G5" s="12" t="s">
        <v>198</v>
      </c>
      <c r="H5" s="12" t="s">
        <v>199</v>
      </c>
      <c r="I5" s="12" t="s">
        <v>249</v>
      </c>
      <c r="J5" s="9" t="s">
        <v>247</v>
      </c>
      <c r="K5" s="9" t="s">
        <v>252</v>
      </c>
      <c r="L5" s="9"/>
      <c r="M5" s="10" t="s">
        <v>282</v>
      </c>
      <c r="N5" s="10"/>
      <c r="O5" s="9"/>
      <c r="P5" s="9"/>
    </row>
    <row r="6" spans="1:16" ht="127" customHeight="1">
      <c r="A6" s="7" t="s">
        <v>200</v>
      </c>
      <c r="B6" s="7" t="s">
        <v>26</v>
      </c>
      <c r="C6" s="8" t="s">
        <v>201</v>
      </c>
      <c r="D6" s="7" t="s">
        <v>15</v>
      </c>
      <c r="E6" s="7" t="s">
        <v>67</v>
      </c>
      <c r="F6" s="8" t="s">
        <v>202</v>
      </c>
      <c r="G6" s="8" t="s">
        <v>203</v>
      </c>
      <c r="H6" s="8" t="s">
        <v>204</v>
      </c>
      <c r="I6" s="8" t="s">
        <v>249</v>
      </c>
      <c r="J6" s="9" t="s">
        <v>247</v>
      </c>
      <c r="K6" s="9" t="s">
        <v>251</v>
      </c>
      <c r="L6" s="9"/>
      <c r="M6" s="10" t="s">
        <v>254</v>
      </c>
      <c r="N6" s="10"/>
      <c r="O6" s="9"/>
      <c r="P6" s="9"/>
    </row>
    <row r="7" spans="1:16" ht="127" customHeight="1">
      <c r="A7" s="11" t="s">
        <v>205</v>
      </c>
      <c r="B7" s="11" t="s">
        <v>26</v>
      </c>
      <c r="C7" s="12" t="s">
        <v>206</v>
      </c>
      <c r="D7" s="11" t="s">
        <v>15</v>
      </c>
      <c r="E7" s="11" t="s">
        <v>61</v>
      </c>
      <c r="F7" s="12" t="s">
        <v>207</v>
      </c>
      <c r="G7" s="12" t="s">
        <v>208</v>
      </c>
      <c r="H7" s="12" t="s">
        <v>209</v>
      </c>
      <c r="I7" s="12" t="s">
        <v>249</v>
      </c>
      <c r="J7" s="9" t="s">
        <v>247</v>
      </c>
      <c r="K7" s="9" t="s">
        <v>252</v>
      </c>
      <c r="L7" s="9"/>
      <c r="M7" s="10" t="s">
        <v>283</v>
      </c>
      <c r="N7" s="10"/>
      <c r="O7" s="9"/>
      <c r="P7" s="9"/>
    </row>
    <row r="8" spans="1:16" ht="127" customHeight="1">
      <c r="A8" s="7" t="s">
        <v>210</v>
      </c>
      <c r="B8" s="7" t="s">
        <v>26</v>
      </c>
      <c r="C8" s="8" t="s">
        <v>211</v>
      </c>
      <c r="D8" s="7" t="s">
        <v>15</v>
      </c>
      <c r="E8" s="7" t="s">
        <v>61</v>
      </c>
      <c r="F8" s="8" t="s">
        <v>212</v>
      </c>
      <c r="G8" s="8" t="s">
        <v>213</v>
      </c>
      <c r="H8" s="8" t="s">
        <v>214</v>
      </c>
      <c r="I8" s="8" t="s">
        <v>249</v>
      </c>
      <c r="J8" s="9" t="s">
        <v>247</v>
      </c>
      <c r="K8" s="9" t="s">
        <v>252</v>
      </c>
      <c r="L8" s="9"/>
      <c r="M8" s="10" t="s">
        <v>284</v>
      </c>
      <c r="N8" s="10"/>
      <c r="O8" s="9"/>
      <c r="P8" s="9"/>
    </row>
  </sheetData>
  <mergeCells count="2">
    <mergeCell ref="A1:P1"/>
    <mergeCell ref="A2:P2"/>
  </mergeCells>
  <phoneticPr fontId="7" type="noConversion"/>
  <conditionalFormatting sqref="D4:D8">
    <cfRule type="expression" dxfId="53" priority="1">
      <formula>$D4="P0"</formula>
    </cfRule>
    <cfRule type="expression" dxfId="52" priority="2">
      <formula>$D4="P1"</formula>
    </cfRule>
  </conditionalFormatting>
  <conditionalFormatting sqref="J4:J8">
    <cfRule type="expression" dxfId="51" priority="3">
      <formula>$J4="通过"</formula>
    </cfRule>
    <cfRule type="expression" dxfId="50" priority="4">
      <formula>$J4="失败"</formula>
    </cfRule>
    <cfRule type="expression" dxfId="49" priority="5">
      <formula>$J4="阻塞"</formula>
    </cfRule>
    <cfRule type="expression" dxfId="48" priority="6">
      <formula>$J4="不适用"</formula>
    </cfRule>
  </conditionalFormatting>
  <conditionalFormatting sqref="K4:K8">
    <cfRule type="expression" dxfId="47" priority="7">
      <formula>$K4="是"</formula>
    </cfRule>
    <cfRule type="expression" dxfId="46" priority="8">
      <formula>$K4="否"</formula>
    </cfRule>
  </conditionalFormatting>
  <conditionalFormatting sqref="L4:L8">
    <cfRule type="expression" dxfId="45" priority="9">
      <formula>$L4="阻塞"</formula>
    </cfRule>
    <cfRule type="expression" dxfId="44" priority="10">
      <formula>$L4="高"</formula>
    </cfRule>
    <cfRule type="expression" dxfId="43" priority="11">
      <formula>$L4="中"</formula>
    </cfRule>
    <cfRule type="expression" dxfId="42" priority="12">
      <formula>$L4="低"</formula>
    </cfRule>
    <cfRule type="expression" dxfId="41" priority="13">
      <formula>$L4="轻微"</formula>
    </cfRule>
  </conditionalFormatting>
  <conditionalFormatting sqref="O4:O8">
    <cfRule type="expression" dxfId="40" priority="14">
      <formula>$O4="已完成"</formula>
    </cfRule>
    <cfRule type="expression" dxfId="39" priority="15">
      <formula>$O4="待讨论"</formula>
    </cfRule>
    <cfRule type="expression" dxfId="38" priority="16">
      <formula>$O4="暂不修复"</formula>
    </cfRule>
  </conditionalFormatting>
  <conditionalFormatting sqref="P4:P8">
    <cfRule type="expression" dxfId="37" priority="17">
      <formula>$P4="通过"</formula>
    </cfRule>
    <cfRule type="expression" dxfId="36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8" xr:uid="{00000000-0002-0000-0600-000000000000}">
      <formula1>"P0,P1,P2,P3"</formula1>
    </dataValidation>
    <dataValidation type="list" allowBlank="1" errorTitle="输入无效" error="请选择下拉列表中的值" promptTitle="可选值" prompt="请从列表中选择" sqref="E4:E8" xr:uid="{00000000-0002-0000-0600-000001000000}">
      <formula1>"功能,流程,校验,权限,安全,异常"</formula1>
    </dataValidation>
    <dataValidation type="list" allowBlank="1" errorTitle="输入无效" error="请选择下拉列表中的值" promptTitle="可选值" prompt="请从列表中选择" sqref="J4:J8" xr:uid="{00000000-0002-0000-0600-000002000000}">
      <formula1>"未执行,通过,失败,阻塞,不适用"</formula1>
    </dataValidation>
    <dataValidation type="list" allowBlank="1" errorTitle="输入无效" error="请选择下拉列表中的值" promptTitle="可选值" prompt="请从列表中选择" sqref="K4:K8" xr:uid="{00000000-0002-0000-0600-000003000000}">
      <formula1>"是,否"</formula1>
    </dataValidation>
    <dataValidation type="list" allowBlank="1" errorTitle="输入无效" error="请选择下拉列表中的值" promptTitle="可选值" prompt="请从列表中选择" sqref="L4:L8" xr:uid="{00000000-0002-0000-0600-000004000000}">
      <formula1>"阻塞,高,中,低,轻微"</formula1>
    </dataValidation>
    <dataValidation type="list" allowBlank="1" errorTitle="输入无效" error="请选择下拉列表中的值" promptTitle="可选值" prompt="请从列表中选择" sqref="O4:O8" xr:uid="{00000000-0002-0000-0600-000005000000}">
      <formula1>"已完成,待讨论,暂不修复"</formula1>
    </dataValidation>
    <dataValidation type="list" allowBlank="1" errorTitle="输入无效" error="请选择下拉列表中的值" promptTitle="可选值" prompt="请从列表中选择" sqref="P4:P8" xr:uid="{00000000-0002-0000-0600-000006000000}">
      <formula1>"通过,不通过"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6"/>
  <sheetViews>
    <sheetView showGridLines="0" workbookViewId="0">
      <pane xSplit="5" ySplit="3" topLeftCell="F4" activePane="bottomRight" state="frozen"/>
      <selection pane="topRight"/>
      <selection pane="bottomLeft"/>
      <selection pane="bottomRight"/>
    </sheetView>
  </sheetViews>
  <sheetFormatPr defaultRowHeight="14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spans="1:16" ht="34" customHeight="1">
      <c r="A1" s="13" t="s">
        <v>215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6" customHeight="1">
      <c r="A2" s="19" t="s">
        <v>42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36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</row>
    <row r="4" spans="1:16" ht="127" customHeight="1">
      <c r="A4" s="7" t="s">
        <v>216</v>
      </c>
      <c r="B4" s="7" t="s">
        <v>27</v>
      </c>
      <c r="C4" s="8" t="s">
        <v>217</v>
      </c>
      <c r="D4" s="7" t="s">
        <v>15</v>
      </c>
      <c r="E4" s="7" t="s">
        <v>123</v>
      </c>
      <c r="F4" s="8" t="s">
        <v>218</v>
      </c>
      <c r="G4" s="8" t="s">
        <v>219</v>
      </c>
      <c r="H4" s="8" t="s">
        <v>220</v>
      </c>
      <c r="I4" s="8" t="s">
        <v>247</v>
      </c>
      <c r="J4" s="9" t="s">
        <v>247</v>
      </c>
      <c r="K4" s="9" t="s">
        <v>248</v>
      </c>
      <c r="L4" s="9" t="s">
        <v>250</v>
      </c>
      <c r="M4" s="10" t="s">
        <v>259</v>
      </c>
      <c r="N4" s="10" t="s">
        <v>275</v>
      </c>
      <c r="O4" s="9"/>
      <c r="P4" s="9"/>
    </row>
    <row r="5" spans="1:16" ht="127" customHeight="1">
      <c r="A5" s="11" t="s">
        <v>221</v>
      </c>
      <c r="B5" s="11" t="s">
        <v>27</v>
      </c>
      <c r="C5" s="12" t="s">
        <v>222</v>
      </c>
      <c r="D5" s="11" t="s">
        <v>15</v>
      </c>
      <c r="E5" s="11" t="s">
        <v>61</v>
      </c>
      <c r="F5" s="12" t="s">
        <v>223</v>
      </c>
      <c r="G5" s="12" t="s">
        <v>224</v>
      </c>
      <c r="H5" s="12" t="s">
        <v>225</v>
      </c>
      <c r="I5" s="12" t="s">
        <v>247</v>
      </c>
      <c r="J5" s="9" t="s">
        <v>247</v>
      </c>
      <c r="K5" s="9" t="s">
        <v>248</v>
      </c>
      <c r="L5" s="9" t="s">
        <v>250</v>
      </c>
      <c r="M5" s="10" t="s">
        <v>260</v>
      </c>
      <c r="N5" s="10" t="s">
        <v>276</v>
      </c>
      <c r="O5" s="9"/>
      <c r="P5" s="9"/>
    </row>
    <row r="6" spans="1:16" ht="127" customHeight="1">
      <c r="A6" s="7" t="s">
        <v>226</v>
      </c>
      <c r="B6" s="7" t="s">
        <v>27</v>
      </c>
      <c r="C6" s="8" t="s">
        <v>227</v>
      </c>
      <c r="D6" s="7" t="s">
        <v>15</v>
      </c>
      <c r="E6" s="7" t="s">
        <v>123</v>
      </c>
      <c r="F6" s="8" t="s">
        <v>228</v>
      </c>
      <c r="G6" s="8" t="s">
        <v>229</v>
      </c>
      <c r="H6" s="8" t="s">
        <v>230</v>
      </c>
      <c r="I6" s="8" t="s">
        <v>249</v>
      </c>
      <c r="J6" s="9" t="s">
        <v>247</v>
      </c>
      <c r="K6" s="9" t="s">
        <v>252</v>
      </c>
      <c r="L6" s="9"/>
      <c r="M6" s="10" t="s">
        <v>280</v>
      </c>
      <c r="N6" s="10"/>
      <c r="O6" s="9"/>
      <c r="P6" s="9"/>
    </row>
  </sheetData>
  <mergeCells count="2">
    <mergeCell ref="A1:P1"/>
    <mergeCell ref="A2:P2"/>
  </mergeCells>
  <phoneticPr fontId="7" type="noConversion"/>
  <conditionalFormatting sqref="D4:D6">
    <cfRule type="expression" dxfId="35" priority="1">
      <formula>$D4="P0"</formula>
    </cfRule>
    <cfRule type="expression" dxfId="34" priority="2">
      <formula>$D4="P1"</formula>
    </cfRule>
  </conditionalFormatting>
  <conditionalFormatting sqref="J4:J6">
    <cfRule type="expression" dxfId="33" priority="3">
      <formula>$J4="通过"</formula>
    </cfRule>
    <cfRule type="expression" dxfId="32" priority="4">
      <formula>$J4="失败"</formula>
    </cfRule>
    <cfRule type="expression" dxfId="31" priority="5">
      <formula>$J4="阻塞"</formula>
    </cfRule>
    <cfRule type="expression" dxfId="30" priority="6">
      <formula>$J4="不适用"</formula>
    </cfRule>
  </conditionalFormatting>
  <conditionalFormatting sqref="K4:K6">
    <cfRule type="expression" dxfId="29" priority="7">
      <formula>$K4="是"</formula>
    </cfRule>
    <cfRule type="expression" dxfId="28" priority="8">
      <formula>$K4="否"</formula>
    </cfRule>
  </conditionalFormatting>
  <conditionalFormatting sqref="L4:L6">
    <cfRule type="expression" dxfId="27" priority="9">
      <formula>$L4="阻塞"</formula>
    </cfRule>
    <cfRule type="expression" dxfId="26" priority="10">
      <formula>$L4="高"</formula>
    </cfRule>
    <cfRule type="expression" dxfId="25" priority="11">
      <formula>$L4="中"</formula>
    </cfRule>
    <cfRule type="expression" dxfId="24" priority="12">
      <formula>$L4="低"</formula>
    </cfRule>
    <cfRule type="expression" dxfId="23" priority="13">
      <formula>$L4="轻微"</formula>
    </cfRule>
  </conditionalFormatting>
  <conditionalFormatting sqref="O4:O6">
    <cfRule type="expression" dxfId="22" priority="14">
      <formula>$O4="已完成"</formula>
    </cfRule>
    <cfRule type="expression" dxfId="21" priority="15">
      <formula>$O4="待讨论"</formula>
    </cfRule>
    <cfRule type="expression" dxfId="20" priority="16">
      <formula>$O4="暂不修复"</formula>
    </cfRule>
  </conditionalFormatting>
  <conditionalFormatting sqref="P4:P6">
    <cfRule type="expression" dxfId="19" priority="17">
      <formula>$P4="通过"</formula>
    </cfRule>
    <cfRule type="expression" dxfId="18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6" xr:uid="{00000000-0002-0000-0700-000000000000}">
      <formula1>"P0,P1,P2,P3"</formula1>
    </dataValidation>
    <dataValidation type="list" allowBlank="1" errorTitle="输入无效" error="请选择下拉列表中的值" promptTitle="可选值" prompt="请从列表中选择" sqref="E4:E6" xr:uid="{00000000-0002-0000-0700-000001000000}">
      <formula1>"功能,流程,校验,权限,安全,异常"</formula1>
    </dataValidation>
    <dataValidation type="list" allowBlank="1" errorTitle="输入无效" error="请选择下拉列表中的值" promptTitle="可选值" prompt="请从列表中选择" sqref="J4:J6" xr:uid="{00000000-0002-0000-0700-000002000000}">
      <formula1>"未执行,通过,失败,阻塞,不适用"</formula1>
    </dataValidation>
    <dataValidation type="list" allowBlank="1" errorTitle="输入无效" error="请选择下拉列表中的值" promptTitle="可选值" prompt="请从列表中选择" sqref="K4:K6" xr:uid="{00000000-0002-0000-0700-000003000000}">
      <formula1>"是,否"</formula1>
    </dataValidation>
    <dataValidation type="list" allowBlank="1" errorTitle="输入无效" error="请选择下拉列表中的值" promptTitle="可选值" prompt="请从列表中选择" sqref="L4:L6" xr:uid="{00000000-0002-0000-0700-000004000000}">
      <formula1>"阻塞,高,中,低,轻微"</formula1>
    </dataValidation>
    <dataValidation type="list" allowBlank="1" errorTitle="输入无效" error="请选择下拉列表中的值" promptTitle="可选值" prompt="请从列表中选择" sqref="O4:O6" xr:uid="{00000000-0002-0000-0700-000005000000}">
      <formula1>"已完成,待讨论,暂不修复"</formula1>
    </dataValidation>
    <dataValidation type="list" allowBlank="1" errorTitle="输入无效" error="请选择下拉列表中的值" promptTitle="可选值" prompt="请从列表中选择" sqref="P4:P6" xr:uid="{00000000-0002-0000-0700-000006000000}">
      <formula1>"通过,不通过"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6"/>
  <sheetViews>
    <sheetView showGridLines="0" workbookViewId="0">
      <pane xSplit="5" ySplit="3" topLeftCell="F4" activePane="bottomRight" state="frozen"/>
      <selection pane="topRight"/>
      <selection pane="bottomLeft"/>
      <selection pane="bottomRight"/>
    </sheetView>
  </sheetViews>
  <sheetFormatPr defaultRowHeight="14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spans="1:16" ht="34" customHeight="1">
      <c r="A1" s="13" t="s">
        <v>231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26" customHeight="1">
      <c r="A2" s="19" t="s">
        <v>42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36" customHeight="1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53</v>
      </c>
      <c r="L3" s="2" t="s">
        <v>54</v>
      </c>
      <c r="M3" s="2" t="s">
        <v>55</v>
      </c>
      <c r="N3" s="2" t="s">
        <v>56</v>
      </c>
      <c r="O3" s="2" t="s">
        <v>57</v>
      </c>
      <c r="P3" s="2" t="s">
        <v>58</v>
      </c>
    </row>
    <row r="4" spans="1:16" ht="127" customHeight="1">
      <c r="A4" s="7" t="s">
        <v>232</v>
      </c>
      <c r="B4" s="7" t="s">
        <v>28</v>
      </c>
      <c r="C4" s="8" t="s">
        <v>233</v>
      </c>
      <c r="D4" s="7" t="s">
        <v>15</v>
      </c>
      <c r="E4" s="7" t="s">
        <v>101</v>
      </c>
      <c r="F4" s="8" t="s">
        <v>234</v>
      </c>
      <c r="G4" s="8" t="s">
        <v>235</v>
      </c>
      <c r="H4" s="8" t="s">
        <v>236</v>
      </c>
      <c r="I4" s="8" t="s">
        <v>247</v>
      </c>
      <c r="J4" s="9" t="s">
        <v>247</v>
      </c>
      <c r="K4" s="9" t="s">
        <v>251</v>
      </c>
      <c r="L4" s="9"/>
      <c r="M4" s="10" t="s">
        <v>288</v>
      </c>
      <c r="N4" s="10"/>
      <c r="O4" s="9"/>
      <c r="P4" s="9"/>
    </row>
    <row r="5" spans="1:16" ht="127" customHeight="1">
      <c r="A5" s="11" t="s">
        <v>237</v>
      </c>
      <c r="B5" s="11" t="s">
        <v>28</v>
      </c>
      <c r="C5" s="12" t="s">
        <v>238</v>
      </c>
      <c r="D5" s="11" t="s">
        <v>15</v>
      </c>
      <c r="E5" s="11" t="s">
        <v>101</v>
      </c>
      <c r="F5" s="12" t="s">
        <v>239</v>
      </c>
      <c r="G5" s="12" t="s">
        <v>240</v>
      </c>
      <c r="H5" s="12" t="s">
        <v>241</v>
      </c>
      <c r="I5" s="12" t="s">
        <v>249</v>
      </c>
      <c r="J5" s="9" t="s">
        <v>247</v>
      </c>
      <c r="K5" s="9" t="s">
        <v>252</v>
      </c>
      <c r="L5" s="9"/>
      <c r="M5" s="10" t="s">
        <v>263</v>
      </c>
      <c r="N5" s="10"/>
      <c r="O5" s="9"/>
      <c r="P5" s="9"/>
    </row>
    <row r="6" spans="1:16" ht="127" customHeight="1">
      <c r="A6" s="7" t="s">
        <v>242</v>
      </c>
      <c r="B6" s="7" t="s">
        <v>28</v>
      </c>
      <c r="C6" s="8" t="s">
        <v>243</v>
      </c>
      <c r="D6" s="7" t="s">
        <v>15</v>
      </c>
      <c r="E6" s="7" t="s">
        <v>101</v>
      </c>
      <c r="F6" s="8" t="s">
        <v>244</v>
      </c>
      <c r="G6" s="8" t="s">
        <v>245</v>
      </c>
      <c r="H6" s="8" t="s">
        <v>246</v>
      </c>
      <c r="I6" s="8" t="s">
        <v>249</v>
      </c>
      <c r="J6" s="9" t="s">
        <v>247</v>
      </c>
      <c r="K6" s="9" t="s">
        <v>252</v>
      </c>
      <c r="L6" s="9"/>
      <c r="M6" s="10" t="s">
        <v>289</v>
      </c>
      <c r="N6" s="10"/>
      <c r="O6" s="9"/>
      <c r="P6" s="9"/>
    </row>
  </sheetData>
  <mergeCells count="2">
    <mergeCell ref="A1:P1"/>
    <mergeCell ref="A2:P2"/>
  </mergeCells>
  <phoneticPr fontId="7" type="noConversion"/>
  <conditionalFormatting sqref="D4:D6">
    <cfRule type="expression" dxfId="17" priority="1">
      <formula>$D4="P0"</formula>
    </cfRule>
    <cfRule type="expression" dxfId="16" priority="2">
      <formula>$D4="P1"</formula>
    </cfRule>
  </conditionalFormatting>
  <conditionalFormatting sqref="J4:J6">
    <cfRule type="expression" dxfId="15" priority="3">
      <formula>$J4="通过"</formula>
    </cfRule>
    <cfRule type="expression" dxfId="14" priority="4">
      <formula>$J4="失败"</formula>
    </cfRule>
    <cfRule type="expression" dxfId="13" priority="5">
      <formula>$J4="阻塞"</formula>
    </cfRule>
    <cfRule type="expression" dxfId="12" priority="6">
      <formula>$J4="不适用"</formula>
    </cfRule>
  </conditionalFormatting>
  <conditionalFormatting sqref="K4:K6">
    <cfRule type="expression" dxfId="11" priority="7">
      <formula>$K4="是"</formula>
    </cfRule>
    <cfRule type="expression" dxfId="10" priority="8">
      <formula>$K4="否"</formula>
    </cfRule>
  </conditionalFormatting>
  <conditionalFormatting sqref="L4:L6">
    <cfRule type="expression" dxfId="9" priority="9">
      <formula>$L4="阻塞"</formula>
    </cfRule>
    <cfRule type="expression" dxfId="8" priority="10">
      <formula>$L4="高"</formula>
    </cfRule>
    <cfRule type="expression" dxfId="7" priority="11">
      <formula>$L4="中"</formula>
    </cfRule>
    <cfRule type="expression" dxfId="6" priority="12">
      <formula>$L4="低"</formula>
    </cfRule>
    <cfRule type="expression" dxfId="5" priority="13">
      <formula>$L4="轻微"</formula>
    </cfRule>
  </conditionalFormatting>
  <conditionalFormatting sqref="O4:O6">
    <cfRule type="expression" dxfId="4" priority="14">
      <formula>$O4="已完成"</formula>
    </cfRule>
    <cfRule type="expression" dxfId="3" priority="15">
      <formula>$O4="待讨论"</formula>
    </cfRule>
    <cfRule type="expression" dxfId="2" priority="16">
      <formula>$O4="暂不修复"</formula>
    </cfRule>
  </conditionalFormatting>
  <conditionalFormatting sqref="P4:P6">
    <cfRule type="expression" dxfId="1" priority="17">
      <formula>$P4="通过"</formula>
    </cfRule>
    <cfRule type="expression" dxfId="0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6" xr:uid="{00000000-0002-0000-0800-000000000000}">
      <formula1>"P0,P1,P2,P3"</formula1>
    </dataValidation>
    <dataValidation type="list" allowBlank="1" errorTitle="输入无效" error="请选择下拉列表中的值" promptTitle="可选值" prompt="请从列表中选择" sqref="E4:E6" xr:uid="{00000000-0002-0000-0800-000001000000}">
      <formula1>"功能,流程,校验,权限,安全,异常"</formula1>
    </dataValidation>
    <dataValidation type="list" allowBlank="1" errorTitle="输入无效" error="请选择下拉列表中的值" promptTitle="可选值" prompt="请从列表中选择" sqref="J4:J6" xr:uid="{00000000-0002-0000-0800-000002000000}">
      <formula1>"未执行,通过,失败,阻塞,不适用"</formula1>
    </dataValidation>
    <dataValidation type="list" allowBlank="1" errorTitle="输入无效" error="请选择下拉列表中的值" promptTitle="可选值" prompt="请从列表中选择" sqref="K4:K6" xr:uid="{00000000-0002-0000-0800-000003000000}">
      <formula1>"是,否"</formula1>
    </dataValidation>
    <dataValidation type="list" allowBlank="1" errorTitle="输入无效" error="请选择下拉列表中的值" promptTitle="可选值" prompt="请从列表中选择" sqref="L4:L6" xr:uid="{00000000-0002-0000-0800-000004000000}">
      <formula1>"阻塞,高,中,低,轻微"</formula1>
    </dataValidation>
    <dataValidation type="list" allowBlank="1" errorTitle="输入无效" error="请选择下拉列表中的值" promptTitle="可选值" prompt="请从列表中选择" sqref="O4:O6" xr:uid="{00000000-0002-0000-0800-000005000000}">
      <formula1>"已完成,待讨论,暂不修复"</formula1>
    </dataValidation>
    <dataValidation type="list" allowBlank="1" errorTitle="输入无效" error="请选择下拉列表中的值" promptTitle="可选值" prompt="请从列表中选择" sqref="P4:P6" xr:uid="{00000000-0002-0000-0800-000006000000}">
      <formula1>"通过,不通过"</formula1>
    </dataValidation>
  </dataValidations>
  <pageMargins left="0.75" right="0.75" top="1" bottom="1" header="0.5" footer="0.5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测试说明</vt:lpstr>
      <vt:lpstr>入口与考试范围</vt:lpstr>
      <vt:lpstr>考纲与题量</vt:lpstr>
      <vt:lpstr>开始与额度</vt:lpstr>
      <vt:lpstr>答题与恢复</vt:lpstr>
      <vt:lpstr>交卷与联动</vt:lpstr>
      <vt:lpstr>练习记录与入口</vt:lpstr>
      <vt:lpstr>内容与权限变化</vt:lpstr>
      <vt:lpstr>异常恢复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datagrand</cp:lastModifiedBy>
  <dcterms:created xsi:type="dcterms:W3CDTF">2026-08-09T18:31:57Z</dcterms:created>
  <dcterms:modified xsi:type="dcterms:W3CDTF">2026-08-11T20:02:04Z</dcterms:modified>
</cp:coreProperties>
</file>