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教育\出国留学\测试\"/>
    </mc:Choice>
  </mc:AlternateContent>
  <bookViews>
    <workbookView windowWidth="22500" windowHeight="11055" firstSheet="1" activeTab="6"/>
  </bookViews>
  <sheets>
    <sheet name="测试说明" sheetId="1" r:id="rId1"/>
    <sheet name="入口与权限" sheetId="2" r:id="rId2"/>
    <sheet name="错题形成与累计" sheetId="3" r:id="rId3"/>
    <sheet name="筛选与查询" sheetId="4" r:id="rId4"/>
    <sheet name="卡片与排序" sheetId="5" r:id="rId5"/>
    <sheet name="分页与状态恢复" sheetId="6" r:id="rId6"/>
    <sheet name="单题解析" sheetId="7" r:id="rId7"/>
    <sheet name="异常容错" sheetId="8" r:id="rId8"/>
    <sheet name="后台内容变化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<sst xmlns="http://schemas.openxmlformats.org/spreadsheetml/2006/main" count="583" uniqueCount="303">
  <si>
    <t>4.1 错题本人工测试用例</t>
  </si>
  <si>
    <t>本轮人工P0：覆盖正式收录、重复累计、筛选分页、解析返回、权限隔离、异常恢复和后台内容变化</t>
  </si>
  <si>
    <t>文档版本</t>
  </si>
  <si>
    <t>当前版（2026-08-10）</t>
  </si>
  <si>
    <t>生成日期</t>
  </si>
  <si>
    <t>用例总数</t>
  </si>
  <si>
    <t>需求来源</t>
  </si>
  <si>
    <t>文档/4-需求文档/4.1 错题本.md</t>
  </si>
  <si>
    <t>默认状态</t>
  </si>
  <si>
    <t>未执行</t>
  </si>
  <si>
    <t>关联规则</t>
  </si>
  <si>
    <t>4.6在线答题、4.8诊断测试、4.12练习册；只有正式提交才形成错题，以4.1错题本可观察行为为主</t>
  </si>
  <si>
    <t>模块覆盖统计</t>
  </si>
  <si>
    <t>模块</t>
  </si>
  <si>
    <t>用例数</t>
  </si>
  <si>
    <t>P0</t>
  </si>
  <si>
    <t>是否通过-是</t>
  </si>
  <si>
    <t>是否通过-否</t>
  </si>
  <si>
    <t>严重缺陷</t>
  </si>
  <si>
    <t>已完成修复</t>
  </si>
  <si>
    <t>回归通过</t>
  </si>
  <si>
    <t>入口与权限</t>
  </si>
  <si>
    <t>错题形成与累计</t>
  </si>
  <si>
    <t>筛选与查询</t>
  </si>
  <si>
    <t>卡片与排序</t>
  </si>
  <si>
    <t>分页与状态恢复</t>
  </si>
  <si>
    <t>单题解析</t>
  </si>
  <si>
    <t>异常容错</t>
  </si>
  <si>
    <t>后台内容变化</t>
  </si>
  <si>
    <t>合计</t>
  </si>
  <si>
    <t>使用说明</t>
  </si>
  <si>
    <t>执行方式</t>
  </si>
  <si>
    <t>使用真实浏览器按编号步骤执行；失败、并发或后台归档场景使用预先准备的测试数据和管理员操作，不要求人工直接修改数据库。</t>
  </si>
  <si>
    <t>数据准备</t>
  </si>
  <si>
    <t>准备ESAT/TMUA两类账号数据、诊断/真题/试题库答卷、跨月重复错题、分页筛选、缺失字段和可归档题目样本。</t>
  </si>
  <si>
    <t>当前实现待对齐</t>
  </si>
  <si>
    <t>卡片最近错误上下文、历史曾选文案、失败后分页器保留及解析失败重试入口按4.1明确规则验收，具体用例备注已标识。</t>
  </si>
  <si>
    <t>执行记录</t>
  </si>
  <si>
    <t>执行状态、是否通过、缺陷等级、实际结果、修复情况和回归情况为可编辑列；无缺陷编号列。</t>
  </si>
  <si>
    <t>非目标</t>
  </si>
  <si>
    <t>不覆盖错题重做、掌握状态、手动移出、收藏备注、导出、按相似题干合并、完整历史题目快照及批量接口参数边界。</t>
  </si>
  <si>
    <t>4.1 错题本人工测试用例 — 入口与权限</t>
  </si>
  <si>
    <t>来源：文档/4-需求文档/4.1 错题本.md｜范围：P0人工回归｜按真实浏览器操作与可观察结果执行</t>
  </si>
  <si>
    <t>用例编号</t>
  </si>
  <si>
    <t>功能模块</t>
  </si>
  <si>
    <t>用例标题</t>
  </si>
  <si>
    <t>优先级</t>
  </si>
  <si>
    <t>用例类型</t>
  </si>
  <si>
    <t>前置条件</t>
  </si>
  <si>
    <t>测试数据</t>
  </si>
  <si>
    <t>操作步骤</t>
  </si>
  <si>
    <t>预期结果</t>
  </si>
  <si>
    <t>执行状态</t>
  </si>
  <si>
    <t>是否通过</t>
  </si>
  <si>
    <t>缺陷等级</t>
  </si>
  <si>
    <t>实际结果</t>
  </si>
  <si>
    <t>备注</t>
  </si>
  <si>
    <t>修复情况</t>
  </si>
  <si>
    <t>回归情况</t>
  </si>
  <si>
    <t>WB-ENTRY-001</t>
  </si>
  <si>
    <t>未登录访问错题本并在登录后返回原考试</t>
  </si>
  <si>
    <t>权限</t>
  </si>
  <si>
    <t>浏览器未登录；测试账号在ESAT有错题</t>
  </si>
  <si>
    <t>入口=顶部导航和首页错题提示；当前考试=ESAT</t>
  </si>
  <si>
    <t>1. 在顶部选择ESAT并通过顶部导航进入错题本
2. 核对进入统一登录流程且未显示任何学生数据
3. 使用有效学生账号完成登录
4. 核对返回ESAT错题本并加载本人数据
5. 退出登录后通过首页错题提示再次进入
6. 重新登录并核对返回路径</t>
  </si>
  <si>
    <t>两个入口均在未登录时先要求认证且不泄露错题；登录成功后返回ESAT错题本并显示当前账号数据，不跳转到其他考试或页面。</t>
  </si>
  <si>
    <t>通过</t>
  </si>
  <si>
    <t>是</t>
  </si>
  <si>
    <t>WB-ENTRY-002</t>
  </si>
  <si>
    <t>页面标题结构和首页入口保持当前考试上下文</t>
  </si>
  <si>
    <t>流程</t>
  </si>
  <si>
    <t>学生已登录；当前考试有错题</t>
  </si>
  <si>
    <t>入口A=顶部导航；入口B=首页当前考试错题提示</t>
  </si>
  <si>
    <t>1. 从顶部导航进入错题本
2. 核对页面标题、用途说明、筛选区、列表和分页区域
3. 返回首页并确认当前考试未变化
4. 从首页错题提示再次进入
5. 核对页面考试范围与首页一致
6. 刷新页面完成复核</t>
  </si>
  <si>
    <t>两个入口进入同一错题本；标题和用途说明正确，页面区域顺序完整；当前考试上下文保持且刷新后不改变。</t>
  </si>
  <si>
    <t>WB-ENTRY-003</t>
  </si>
  <si>
    <t>学生只能查看本人错题且地址参数不能切换用户</t>
  </si>
  <si>
    <t>安全</t>
  </si>
  <si>
    <t>账号A、B均有可区分的错题；已登录A</t>
  </si>
  <si>
    <t>A专属题目XA；B专属题目XB；地址中尝试替换用户标识</t>
  </si>
  <si>
    <t>1. 使用A进入错题本并记录可见题目
2. 确认XA可见且XB不可见
3. 在当前地址中替换为B的用户标识或复制B的错误链接
4. 刷新页面并观察列表
5. 尝试打开XB的解析地址
6. 返回错题本再次核对</t>
  </si>
  <si>
    <t>页面和解析始终只读取A的数据；地址参数不能切换用户范围；XB不可见且不可解析，不会返回B的题目、答案或来源信息。</t>
  </si>
  <si>
    <t>WB-ENTRY-004</t>
  </si>
  <si>
    <t>顶部考试范围优先于地址中的旧考试参数</t>
  </si>
  <si>
    <t>学生在ESAT、TMUA均有错题；顶部当前为ESAT</t>
  </si>
  <si>
    <t>地址带TMUA旧参数；ESAT题E；TMUA题T</t>
  </si>
  <si>
    <t>1. 保持顶部为ESAT并打开带TMUA参数的错题本地址
2. 等待列表加载完成并核对题目范围
3. 确认E可见且T不可见
4. 顶部切换到TMUA
5. 核对T可见且E不可见
6. 刷新并再次检查顶部与列表</t>
  </si>
  <si>
    <t>顶部考试是唯一有效范围；旧地址参数不能覆盖ESAT；主动切换TMUA后才加载T，刷新后顶部与列表保持一致。</t>
  </si>
  <si>
    <t>4.1 错题本人工测试用例 — 错题形成与累计</t>
  </si>
  <si>
    <t>WB-FORM-001</t>
  </si>
  <si>
    <t>诊断测试正式提交后错误题进入错题本</t>
  </si>
  <si>
    <t>学生可完成一套诊断测试；目标题X当前不在错题本</t>
  </si>
  <si>
    <t>操作前错题总数W、X错误次数E=0；诊断中将X选错</t>
  </si>
  <si>
    <t>1. 在当前考试错题本记录W和X的E作为基线
2. 开始诊断测试并将X选错
3. 暂停或退出诊断但不正式提交
4. 返回错题本刷新并核对W、E
5. 继续同一诊断并完成全部分段正式提交
6. 返回错题本刷新并搜索X
7. 重新登录后再次核对</t>
  </si>
  <si>
    <t>暂停或退出后W、E保持不变；诊断正式提交后X新增一张卡片、W增加1、E增加1；来源显示诊断对应来源且重新登录后保持。</t>
  </si>
  <si>
    <t>失败</t>
  </si>
  <si>
    <t>否</t>
  </si>
  <si>
    <t>高</t>
  </si>
  <si>
    <t>1、切换TMUA考试时，多次错误选项没有多次标志，比如A错，B错，C是正确答案，只会显示最后一次选错的选项，并且如果是多次错误，最好要显示每次错误来源的时间、来源
2、ESAT如果切换考试组合科目，同一道题，以前记录的错误全部丢失，找不到，并且没有累加，也没有在显示题目来源时，题目编号与在考试中的标号不一致。可能显示的是在ESAT真卷中的题目标号</t>
  </si>
  <si>
    <t>WB-FORM-002</t>
  </si>
  <si>
    <t>真题练习正式交卷后错误题进入错题本</t>
  </si>
  <si>
    <t>学生可完成一套真题练习；目标题Y当前不在错题本</t>
  </si>
  <si>
    <t>操作前错题总数W、Y错误次数E=0；真题中将Y选错</t>
  </si>
  <si>
    <t>1. 在错题本记录W和Y的E作为基线
2. 进入真题练习并将Y选错
3. 保存进度后返回但不交卷
4. 刷新错题本核对W、E
5. 继续原真题并正式交卷
6. 返回错题本按真题来源搜索Y
7. 打开Y解析并返回列表</t>
  </si>
  <si>
    <t>保存进度不产生错题，W、E保持不变；正式交卷后Y新增一张卡片、W增加1、E增加1；来源和来源试卷对应本次真题。</t>
  </si>
  <si>
    <t>同上</t>
  </si>
  <si>
    <t>WB-FORM-003</t>
  </si>
  <si>
    <t>试题库练习正式交卷后错误题进入错题本</t>
  </si>
  <si>
    <t>学生可完成题库专项、自由组卷或练习本练习；目标题Z不在错题本</t>
  </si>
  <si>
    <t>操作前错题总数W、Z错误次数E=0；本次将Z选错</t>
  </si>
  <si>
    <t>1. 在错题本记录W和Z的E作为基线
2. 从任一试题库入口开始练习并将Z选错
3. 保存并返回来源页但不交卷
4. 刷新错题本核对W、E
5. 继续同一练习并正式交卷
6. 返回错题本按试题库来源搜索Z
7. 重新打开练习历史和Z卡片核对</t>
  </si>
  <si>
    <t>进行中练习不产生错题，W、E保持不变；正式交卷后Z新增一张卡片、W增加1、E增加1；不同题库入口统一归入试题库来源。</t>
  </si>
  <si>
    <t>WB-FORM-004</t>
  </si>
  <si>
    <t>同一题多次做错只保留一张卡片并累计历史</t>
  </si>
  <si>
    <t>同一题X可在多次正式答卷中出现；X已有错误次数E或为0</t>
  </si>
  <si>
    <t>第一次错误选择A；第二次错误选择B；操作前总数W和错误次数E</t>
  </si>
  <si>
    <t>1. 在错题本记录W、E作为基线
2. 第一次将X选为A并正式交卷
3. 返回错题本刷新并记录X卡片
4. 第二次将X选为B并正式交卷
5. 再次返回刷新并搜索X
6. 核对卡片数量、错误次数和历史曾选答案
7. 进入解析后返回列表</t>
  </si>
  <si>
    <t>第一次提交后X错误次数增加1；第二次提交后仍只有一张X卡片且错误次数再增加1；W最多只因首次出现增加1；历史曾选包含A、B。</t>
  </si>
  <si>
    <t>WB-FORM-005</t>
  </si>
  <si>
    <t>未作答计为错题而答对不新增并且后续做对不移除</t>
  </si>
  <si>
    <t>目标题X、Y不在错题本；题Z已有错误次数E</t>
  </si>
  <si>
    <t>X未作答；Y答对；Z本次答对；操作前总数W</t>
  </si>
  <si>
    <t>1. 记录W、X/Y是否存在及Z的E作为基线
2. 在一次练习中跳过X、答对Y和Z并正式交卷
3. 返回错题本刷新并搜索X
4. 搜索Y并核对是否出现
5. 搜索Z并核对卡片与错误次数
6. 打开X卡片查看历史答案区域
7. 重新登录后再次核对</t>
  </si>
  <si>
    <t>X新增为错题且没有空的历史答案标签；Y不新增；Z原卡片保持且E不减少；W只按首次出现的X增加1，重新登录后保持。</t>
  </si>
  <si>
    <t>WB-FORM-006</t>
  </si>
  <si>
    <t>重复提交同一已完成答卷不重复累计错题</t>
  </si>
  <si>
    <t>异常</t>
  </si>
  <si>
    <t>一份包含错题X的答卷已正式提交；可模拟提交响应丢失或重复点击</t>
  </si>
  <si>
    <t>操作前错题总数W、X错误次数E；同一答卷R</t>
  </si>
  <si>
    <t>1. 在错题本记录W、E作为基线
2. 回到R的完成页刷新或重复触发提交
3. 在网络响应不确定时点击重试提交
4. 等待页面返回原完成结果
5. 返回错题本刷新并搜索X
6. 记录W和E
7. 重新登录后再次核对</t>
  </si>
  <si>
    <t>所有重复操作均复用R的原结果；W和E保持基线不变，不新增重复卡片、错误次数或历史曾选记录。</t>
  </si>
  <si>
    <t>中</t>
  </si>
  <si>
    <t>确实不累计，但是有以下问题：
1、错题本看不到错题来源
2、多次选择出错，应该在详情页面，能有时间轨迹，每次错误选项、时间轴、错题来源</t>
  </si>
  <si>
    <t>4.1 错题本人工测试用例 — 筛选与查询</t>
  </si>
  <si>
    <t>WB-FILTER-001</t>
  </si>
  <si>
    <t>来源多选为同维度或关系且不宣称模考入口已上线</t>
  </si>
  <si>
    <t>校验</t>
  </si>
  <si>
    <t>当前考试有真题、试题库和兼容模考来源错题</t>
  </si>
  <si>
    <t>来源选择真题+试题库；分别准备三类来源题目</t>
  </si>
  <si>
    <t>1. 进入错题本记录完整列表作为基线
2. 勾选真题和试题库但不点击搜索
3. 核对列表暂未变化
4. 点击搜索并等待完成
5. 核对结果包含真题或试题库且排除模考
6. 单独选择模考执行搜索
7. 核对筛选可兼容数据但页面无新增模考业务入口</t>
  </si>
  <si>
    <t>同一来源维度多选按或关系命中；待应用条件不提前改变列表；模考只作为兼容筛选项，不产生或暗示独立学生入口。</t>
  </si>
  <si>
    <t>WB-FILTER-002</t>
  </si>
  <si>
    <t>科目联动知识点且父级筛选包含全部后代</t>
  </si>
  <si>
    <t>功能</t>
  </si>
  <si>
    <t>当前考试含科目M1、M2；M1父知识点P含叶子L1、L2并各有错题</t>
  </si>
  <si>
    <t>先选M1和P；再从M1切换M2</t>
  </si>
  <si>
    <t>1. 进入错题本并选择M1
2. 核对知识点树只显示M1范围
3. 选择父级P并点击搜索
4. 核对L1、L2的错题均命中
5. 将科目改为M2
6. 核对原知识点选择被清空且树切换为M2
7. 点击搜索并核对结果范围</t>
  </si>
  <si>
    <t>科目决定可选知识点范围；父级P包含自身和全部后代；改变科目会清空旧知识点，最终结果只属于M2。</t>
  </si>
  <si>
    <t>确实可以清空，但是科目可以多选，如果已经选了数学1，选择了知识点，此时多选数学2，则数学1已经选择的知识点被清空</t>
  </si>
  <si>
    <t>WB-FILTER-003</t>
  </si>
  <si>
    <t>同维度多选取并集而跨维度条件取交集</t>
  </si>
  <si>
    <t>准备来源、科目、知识点和难度组合可区分的多条错题</t>
  </si>
  <si>
    <t>来源=真题或试题库；科目=M；知识点=L1或L2；难度=中或高</t>
  </si>
  <si>
    <t>1. 记录每个样本的属性作为基线
2. 在来源内多选真题和试题库
3. 在知识点内多选L1和L2
4. 同时选择科目M及难度中、高
5. 点击搜索并等待完成
6. 逐条核对结果满足全部跨维度条件
7. 检查未命中样本是否被排除</t>
  </si>
  <si>
    <t>来源内部、知识点内部和难度内部按或关系；来源、科目、知识点、难度之间按与关系；结果无漏选和越界题目。</t>
  </si>
  <si>
    <t>WB-FILTER-004</t>
  </si>
  <si>
    <t>难度统一为低中高且历史综合题归入高难度</t>
  </si>
  <si>
    <t>当前考试含低、中、高及历史composite错题样本</t>
  </si>
  <si>
    <t>分别选择低、中、高；composite样本C</t>
  </si>
  <si>
    <t>1. 进入错题本记录四类样本作为基线
2. 选择低难度搜索并核对结果
3. 选择中难度搜索并核对结果
4. 选择高难度搜索并核对结果
5. 检查C是否命中高难度
6. 核对筛选区没有单独composite选项
7. 重置筛选完成复核</t>
  </si>
  <si>
    <t>筛选仅提供低、中、高；各档只命中对应当前难度；历史composite迁移样本按高难度命中且不出现第四档。</t>
  </si>
  <si>
    <t>WB-FILTER-005</t>
  </si>
  <si>
    <t>日期只控制命中范围而卡片统计仍取全部历史</t>
  </si>
  <si>
    <t>同一题X在六月和七月各正式做错一次</t>
  </si>
  <si>
    <t>六月提交S1选择A；七月提交S2选择B；错误次数E=2</t>
  </si>
  <si>
    <t>1. 在无日期筛选时记录X的E、历史曾选和最近错误作为基线
2. 选择仅覆盖六月的日期范围并点击搜索
3. 核对X仍进入结果
4. 核对X卡片错误次数和历史曾选
5. 核对最近错误提交时间与上下文
6. 改为仅覆盖七月搜索
7. 重置日期并刷新页面</t>
  </si>
  <si>
    <t>六月或七月任一范围都可使X命中；卡片始终显示E=2及A、B，最近错误始终取七月S2并保持不变；筛选不截断全历史统计。</t>
  </si>
  <si>
    <t>WB-FILTER-006</t>
  </si>
  <si>
    <t>日期边界限制与搜索重置状态正确</t>
  </si>
  <si>
    <t>学生有明确第一条错题日期D0；当前日期为D1</t>
  </si>
  <si>
    <t>日期下限D0、上限D1；未来D2；一组可命中筛选条件F</t>
  </si>
  <si>
    <t>1. 记录当前筛选、列表和地址作为基线
2. 打开日期选择器核对D0之前和D1之后日期
3. 尝试选择未来D2和早于D0的日期
4. 选择合法范围并配置F但暂不搜索
5. 核对列表和地址仍使用旧条件
6. 点击搜索并等待查询完成，再点击重置等待成功
7. 核对所有条件清空且显示完整第一页</t>
  </si>
  <si>
    <t>日期只能在D0至D1内选择；待应用条件时列表和地址保持不变；搜索成功后新条件更新并回第一页；重置成功后清空全部条件和隐藏知识点。</t>
  </si>
  <si>
    <t>D0没有根据考试类型来变化，例如7日是首次出现TMUA的错题，但是11号是ESAT，选择ESAT的时候，也可以看到7日</t>
  </si>
  <si>
    <t>4.1 错题本人工测试用例 — 卡片与排序</t>
  </si>
  <si>
    <t>WB-CARD-001</t>
  </si>
  <si>
    <t>错题卡片完整展示题目属性和最近错误上下文</t>
  </si>
  <si>
    <t>准备资料完整且有多次错误历史的错题X</t>
  </si>
  <si>
    <t>标题、考试、科目、3个知识点、难度、错误次数E、历史曾选、最近提交时间、单题耗时、来源和试卷名称</t>
  </si>
  <si>
    <t>1. 进入错题本找到X并记录卡片内容
2. 核对标题、前两个知识点和剩余数量
3. 核对难度、E和历史曾选标签
4. 核对考试、科目、最近提交时间和单题耗时
5. 核对来源及来源试卷名称
6. 刷新页面再次核对
7. 打开解析后返回卡片</t>
  </si>
  <si>
    <t>卡片字段与X当前属性和最近错误记录一致；知识点超过两个时显示剩余数量；刷新和往返解析后保持。</t>
  </si>
  <si>
    <t>无法看到：核对考试、科目、最近提交时间和单题耗时</t>
  </si>
  <si>
    <t>当前实现待对齐：考试、科目、最近错误提交时间、最近单题耗时、来源和来源试卷名称尚需补充；“历史相似”文案应改为“历史曾选”。</t>
  </si>
  <si>
    <t>WB-CARD-002</t>
  </si>
  <si>
    <t>历史信息缺失时使用中性兜底且不阻断整页</t>
  </si>
  <si>
    <t>准备标题、难度、知识点、来源或科目分别缺失的卡片样本</t>
  </si>
  <si>
    <t>标题缺失有题号；难度缺失；知识点缺失；来源或科目缺失</t>
  </si>
  <si>
    <t>1. 进入错题本并逐一定位缺失样本
2. 核对标题缺失时显示题号
3. 核对难度缺失时显示未标注
4. 核对知识点缺失题在无知识点筛选时仍可见
5. 核对来源或科目使用中性占位
6. 操作其他正常卡片和分页
7. 刷新页面完成复核</t>
  </si>
  <si>
    <t>各缺失样本使用规定兜底，不擅自归类；单张异常卡片不导致白屏、整页失败或其他卡片不可操作。</t>
  </si>
  <si>
    <t>不具备执行条件</t>
  </si>
  <si>
    <t>WB-CARD-003</t>
  </si>
  <si>
    <t>列表按最近错误提交时间倒序且同时间顺序稳定</t>
  </si>
  <si>
    <t>准备不同最近提交时间及相同时间的多条错题，数量覆盖两页</t>
  </si>
  <si>
    <t>题目A/B/C最近时间不同；D/E时间相同；默认每页20题</t>
  </si>
  <si>
    <t>1. 进入无筛选列表记录第一页顺序作为基线
2. 核对A/B/C按最近提交时间倒序
3. 记录D/E相对顺序
4. 翻到第二页再返回第一页
5. 刷新页面并再次记录D/E
6. 应用不改变结果集合的筛选后重新搜索
7. 核对顺序、重复和遗漏</t>
  </si>
  <si>
    <t>列表始终按最近错误提交时间倒序；同时间D/E相对顺序稳定；翻页、刷新和等价搜索后不重复、不漏题。</t>
  </si>
  <si>
    <t>考不到错题时间</t>
  </si>
  <si>
    <t>4.1 错题本人工测试用例 — 分页与状态恢复</t>
  </si>
  <si>
    <t>WB-PAGE-001</t>
  </si>
  <si>
    <t>默认每页20题且切换每页数量回到第一页</t>
  </si>
  <si>
    <t>当前考试有超过20条错题</t>
  </si>
  <si>
    <t>默认页码1；默认每页20；选择另一可用每页数量N</t>
  </si>
  <si>
    <t>1. 首次进入错题本记录页码、每页数量和卡片数
2. 翻到第二页并记录首尾题目
3. 切换每页数量为N
4. 核对页面回到第一页
5. 核对列表条数不超过N
6. 刷新页面再次核对
7. 返回默认设置完成复核</t>
  </si>
  <si>
    <t>首次默认第一页且每页20题；翻页正确；切换每页数量后页码更新为1并按N展示；刷新后每页数量保持N，页面地址与当前值一致。</t>
  </si>
  <si>
    <t>WB-PAGE-002</t>
  </si>
  <si>
    <t>筛选页码和每页数量可通过地址刷新与复制恢复</t>
  </si>
  <si>
    <t>筛选结果超过一页；可使用同账号新标签页</t>
  </si>
  <si>
    <t>已应用筛选F；页码P=2；每页数量N</t>
  </si>
  <si>
    <t>1. 应用F并进入第2页，设置每页数量N
2. 记录当前地址和可见题目作为基线
3. 刷新当前页面
4. 核对F、P、N和列表恢复
5. 复制地址到新标签页打开
6. 核对新标签页恢复相同结果
7. 改变数据使P越界后再次打开该地址并完成恢复</t>
  </si>
  <si>
    <t>刷新和复制地址后F、P、N及对应列表保持不变；当P越界时页码更新为最后一个有效页，而不是空白或错误页。</t>
  </si>
  <si>
    <t>WB-PAGE-003</t>
  </si>
  <si>
    <t>分页始终使用最近成功条件而不提前应用待选条件</t>
  </si>
  <si>
    <t>已成功应用筛选F1且结果超过一页</t>
  </si>
  <si>
    <t>已应用F1；仅在筛选区选择但未搜索的F2</t>
  </si>
  <si>
    <t>1. 应用F1并记录第一页结果作为基线
2. 在筛选区改选F2但不点击搜索
3. 点击第二页
4. 核对列表仍全部满足F1
5. 返回第一页并检查地址仍为F1
6. 点击搜索正式应用F2
7. 核对回到第一页且地址更新为F2</t>
  </si>
  <si>
    <t>未搜索的F2只停留在筛选控件；翻页继续使用F1；只有搜索成功后F2才成为已应用条件并使页码回到1。</t>
  </si>
  <si>
    <t>4.1 错题本人工测试用例 — 单题解析</t>
  </si>
  <si>
    <t>WB-REVIEW-001</t>
  </si>
  <si>
    <t>查看解析定位最近一次错误答卷中的当前题</t>
  </si>
  <si>
    <t>题X有多次错误历史且最近一次错误答卷R可访问</t>
  </si>
  <si>
    <t>R中的学生答案A、正确答案C和解析内容已知</t>
  </si>
  <si>
    <t>1. 在错题本找到X并记录最近错误信息
2. 点击查看解析
3. 核对页面只展示X且没有整份答卷题号导航
4. 核对学生答案A和正确答案C
5. 核对基础解析及可用的重点、步骤、干扰项、建议或常见错误
6. 刷新解析页再次核对
7. 点击返回错题本</t>
  </si>
  <si>
    <t>解析绑定X最近一次错误答卷R；只展示X，不要求先进入诊断报告；答案和解析正确；刷新后保持且可安全返回。</t>
  </si>
  <si>
    <t>WB-REVIEW-002</t>
  </si>
  <si>
    <t>从第二页解析返回后恢复原筛选和页码</t>
  </si>
  <si>
    <t>筛选结果超过一页且第二页有可解析错题X</t>
  </si>
  <si>
    <t>筛选F；页码P=2；每页数量N；题X</t>
  </si>
  <si>
    <t>1. 应用F并进入第2页，设置每页数量N
2. 记录列表和地址作为基线
3. 点击X的查看解析
4. 在解析页刷新一次
5. 点击返回错题本
6. 核对F、P、N和X所在列表恢复
7. 浏览器前进后再返回完成复核</t>
  </si>
  <si>
    <t>即使解析页刷新，返回后F、P=2、N和原列表位置仍保持不变；不会回到无筛选第一页或其他业务页面。</t>
  </si>
  <si>
    <t>WB-REVIEW-003</t>
  </si>
  <si>
    <t>题目没有解析内容时仍展示题目与答案</t>
  </si>
  <si>
    <t>错题X有有效答卷但当前题目没有解析文本</t>
  </si>
  <si>
    <t>题干、学生答案A、正确答案C存在；解析为空</t>
  </si>
  <si>
    <t>1. 从错题卡片点击X的查看解析
2. 等待页面加载完成
3. 核对题干、A和C
4. 核对暂无解析提示
5. 检查页面没有伪造解析或空白白屏
6. 点击返回错题本
7. 再次打开完成复核</t>
  </si>
  <si>
    <t>页面明确提示当前题目暂无解析内容，同时正常展示题目、学生答案和正确答案；返回和再次打开均可用。</t>
  </si>
  <si>
    <t>无法执行</t>
  </si>
  <si>
    <t>WB-REVIEW-004</t>
  </si>
  <si>
    <t>最近答卷关系缺失时禁用解析且不影响其他卡片</t>
  </si>
  <si>
    <t>异常卡片X缺少有效答卷关系；同页正常卡片Y可解析</t>
  </si>
  <si>
    <t>X无有效答卷；Y有完整答卷</t>
  </si>
  <si>
    <t>1. 进入包含X、Y的错题列表
2. 核对X的查看解析不可点击或有明确不可用提示
3. 尝试通过键盘或地址进入X解析
4. 返回列表
5. 点击Y的查看解析
6. 核对Y正常加载并返回
7. 刷新列表再次核对</t>
  </si>
  <si>
    <t>X不能进入伪造或错误解析；异常不阻断整页；Y仍可正常解析；刷新后限制保持。</t>
  </si>
  <si>
    <t>WB-REVIEW-005</t>
  </si>
  <si>
    <t>解析失败可重试且非法返回地址只能回错题本</t>
  </si>
  <si>
    <t>可模拟解析读取失败；可构造站外或其他业务返回地址</t>
  </si>
  <si>
    <t>题X；非法返回地址=站外URL和站内非错题本路径</t>
  </si>
  <si>
    <t>1. 从X卡片进入解析并制造读取失败
2. 核对错误信息、重新加载和返回错题本操作
3. 恢复网络后点击重新加载
4. 核对X完整解析加载成功
5. 分别使用两类非法返回地址打开解析
6. 点击返回
7. 核对最终落点</t>
  </si>
  <si>
    <t>读取失败不显示其他题，页面同时提供重试和返回；恢复后可加载X；非法返回地址被忽略并统一回到错题本首页。</t>
  </si>
  <si>
    <t>低</t>
  </si>
  <si>
    <t>没有重新加载页，直接报错，刷新后可进入错题页面</t>
  </si>
  <si>
    <t>当前实现待对齐：解析失败页需补充明确的重新加载入口，同时保留返回错题本。</t>
  </si>
  <si>
    <t>4.1 错题本人工测试用例 — 异常容错</t>
  </si>
  <si>
    <t>WB-FAIL-001</t>
  </si>
  <si>
    <t>首次加载失败与暂无错题和无匹配结果明确区分</t>
  </si>
  <si>
    <t>可模拟首次列表失败；另有无错题账号A和有错题账号B</t>
  </si>
  <si>
    <t>场景1请求失败；场景2A无正式错题；场景3B筛选无命中</t>
  </si>
  <si>
    <t>1. 制造首次加载失败进入错题本
2. 核对错题加载失败、原因和重新加载
3. 恢复后重试并确认正常结果
4. 使用A进入同一考试
5. 核对显示暂无错题
6. 使用B应用无命中筛选
7. 核对显示暂无匹配错题及调整提示</t>
  </si>
  <si>
    <t>请求失败、真实无错题和筛选无结果使用三种明确提示；失败不伪装空态；重试成功后正常加载。</t>
  </si>
  <si>
    <t>WB-FAIL-002</t>
  </si>
  <si>
    <t>已有列表后搜索或分页失败保留原结果和页码</t>
  </si>
  <si>
    <t>已成功应用F1并位于第2页；可模拟搜索和翻页失败</t>
  </si>
  <si>
    <t>原列表L、页码P=2、每页N；新待选条件F2</t>
  </si>
  <si>
    <t>1. 记录F1、L、P、N作为基线
2. 选择F2并制造搜索失败
3. 核对筛选控件保留F2但列表和地址仍为F1
4. 恢复后取消F2并制造翻页失败
5. 核对L、P、N和分页器
6. 点击重试并等待成功
7. 刷新页面完成复核</t>
  </si>
  <si>
    <t>两类失败均保留上次成功的L、P、N和可操作分页器，并提示结果未更新；F2不被偷偷应用；重试成功后才更新。</t>
  </si>
  <si>
    <t>当前实现待对齐：已有列表后的请求失败需继续显示原分页器和重试入口。</t>
  </si>
  <si>
    <t>WB-FAIL-003</t>
  </si>
  <si>
    <t>重置失败恢复原筛选列表和地址</t>
  </si>
  <si>
    <t>已成功应用筛选F并位于非第一页；可模拟重置请求失败</t>
  </si>
  <si>
    <t>筛选F、原列表L、页码P、地址U</t>
  </si>
  <si>
    <t>1. 记录F、L、P、U作为基线
2. 点击重置并制造请求失败
3. 核对页面错误提示
4. 核对筛选区恢复F而不是显示空条件
5. 核对L、P、U保持
6. 恢复网络后再次点击重置
7. 核对完整列表第一页和新地址</t>
  </si>
  <si>
    <t>重置失败时F、L、P、U保持一致，不出现空筛选配旧列表；重试成功后才清空条件并回到完整列表第一页。</t>
  </si>
  <si>
    <t>WB-FAIL-004</t>
  </si>
  <si>
    <t>考纲加载失败不影响其他筛选列表和解析</t>
  </si>
  <si>
    <t>错题列表可正常加载；可单独模拟当前考试考纲失败</t>
  </si>
  <si>
    <t>来源、难度、日期均有可命中样本；正常卡片X可解析</t>
  </si>
  <si>
    <t>1. 制造考纲失败后进入错题本
2. 核对科目和知识点禁用及错误提示
3. 使用来源、难度和日期执行搜索
4. 核对列表正常更新
5. 打开X解析后返回
6. 顶部切换另一考试触发新考纲加载
7. 核对未显示原考试考纲作为替代</t>
  </si>
  <si>
    <t>考纲失败只禁用科目和知识点；其他筛选、列表和解析保持可用；切换考试重新加载对应考纲，绝不串用旧考试数据。</t>
  </si>
  <si>
    <t>WB-FAIL-005</t>
  </si>
  <si>
    <t>快速切换考试连续搜索和翻页只采用最后一次请求</t>
  </si>
  <si>
    <t>ESAT和TMUA数据可区分；可制造不同请求返回先后顺序</t>
  </si>
  <si>
    <t>连续操作序列=ESAT搜索F1→翻页→切TMUA搜索F2</t>
  </si>
  <si>
    <t>1. 记录两个考试的样本和地址作为基线
2. 快速执行ESAT搜索F1和翻页
3. 在请求未完成时切到TMUA并搜索F2
4. 等待后发请求先返回
5. 再等待早期ESAT请求返回
6. 核对列表、总数、页码、地址和错误提示
7. 刷新页面再次核对</t>
  </si>
  <si>
    <t>最终页面只反映TMUA与F2；迟到的ESAT请求不能覆盖列表、总数、页码、地址或错误提示；刷新后保持最终条件。</t>
  </si>
  <si>
    <t>4.1 错题本人工测试用例 — 后台内容变化</t>
  </si>
  <si>
    <t>WB-ADMIN-001</t>
  </si>
  <si>
    <t>后台归档题目后已形成错题和解析继续保留</t>
  </si>
  <si>
    <t>题X已有错题历史和有效解析；管理员可归档X</t>
  </si>
  <si>
    <t>操作前X错误次数E、历史曾选A、最近答卷R</t>
  </si>
  <si>
    <t>1. 在错题本记录X的E、A、R作为基线
2. 从X进入解析并返回
3. 管理员将X改为归档并保存成功
4. 学生刷新错题本并搜索X
5. 核对X卡片历史信息
6. 再次进入X解析
7. 重新登录后再次核对</t>
  </si>
  <si>
    <t>归档不删除X的错题事实；E、A、R保持不变，卡片和解析继续可访问；新练习不应再抽取X但历史不受影响。</t>
  </si>
  <si>
    <t>WB-ADMIN-002</t>
  </si>
  <si>
    <t>后台修改题目属性后按当前属性筛选但历史错误不重算</t>
  </si>
  <si>
    <t>题X已有错误历史；管理员可修改科目、知识点和难度</t>
  </si>
  <si>
    <t>原属性C1=科目M1/知识点L1/低；新属性C2=科目M2/知识点L2/高；错误次数E</t>
  </si>
  <si>
    <t>1. 按C1筛选X并记录E作为基线
2. 管理员将X属性改为C2并保存成功
3. 学生刷新并继续使用C1搜索
4. 核对X不再命中C1
5. 改用C2搜索并找到X
6. 核对E、历史曾选和最近错误
7. 打开解析后返回</t>
  </si>
  <si>
    <t>筛选和卡片采用当前C2，X从C1移入C2范围；E及历史选择保持不变，不因属性修改重新判定或累计。</t>
  </si>
  <si>
    <t>WB-ADMIN-003</t>
  </si>
  <si>
    <t>后台修改题目内容和答案不重算历史判题并展示当前解析</t>
  </si>
  <si>
    <t>题X已有一次错误历史；管理员可修改题干、选项、正确答案和解析</t>
  </si>
  <si>
    <t>原版本V1、错误次数E；新版本V2含可识别文案和新解析</t>
  </si>
  <si>
    <t>1. 记录X的V1、E和历史曾选作为基线
2. 管理员将题目更新为V2并保存成功
3. 学生刷新错题本找到X
4. 核对卡片错误次数和历史曾选
5. 进入解析核对当前题干、答案和解析
6. 返回列表再次刷新
7. 对照历史提交时间完成复核</t>
  </si>
  <si>
    <t>列表与解析读取当前V2；E和历史曾选保持，不按新正确答案重判历史；本期不伪造V1完整快照。</t>
  </si>
  <si>
    <t>产品既定限制：当前版本与作答时版本可能不一致，待后续题目与答案快照能力解决。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</si>
</sst>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sz val="10"/>
      <color rgb="FF375A7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43447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243447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C9D4E0"/>
      </bottom>
      <diagonal/>
    </border>
    <border>
      <left/>
      <right/>
      <top style="thin">
        <color rgb="FFC9D4E0"/>
      </top>
      <bottom style="thin">
        <color rgb="FFC9D4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176" fontId="4" fillId="8" borderId="1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name val="Microsoft YaHei"/>
        <scheme val="none"/>
        <b val="1"/>
        <sz val="10"/>
        <color rgb="FF9C0006"/>
      </font>
      <fill>
        <patternFill patternType="solid">
          <fgColor rgb="FFF4CCCC"/>
        </patternFill>
      </fill>
    </dxf>
    <dxf>
      <font>
        <name val="Microsoft YaHei"/>
        <scheme val="none"/>
        <b val="1"/>
        <sz val="10"/>
        <color rgb="FF9C5700"/>
      </font>
      <fill>
        <patternFill patternType="solid">
          <fgColor rgb="FFFCE5CD"/>
        </patternFill>
      </fill>
    </dxf>
    <dxf>
      <font>
        <name val="Microsoft YaHei"/>
        <scheme val="none"/>
        <b val="1"/>
        <sz val="10"/>
        <color rgb="FF274E13"/>
      </font>
      <fill>
        <patternFill patternType="solid">
          <fgColor rgb="FFD9EAD3"/>
        </patternFill>
      </fill>
    </dxf>
    <dxf>
      <font>
        <name val="Microsoft YaHei"/>
        <scheme val="none"/>
        <b val="1"/>
        <sz val="10"/>
        <color rgb="FF5B0F00"/>
      </font>
      <fill>
        <patternFill patternType="solid">
          <fgColor rgb="FFEADCF8"/>
        </patternFill>
      </fill>
    </dxf>
    <dxf>
      <font>
        <name val="Microsoft YaHei"/>
        <scheme val="none"/>
        <b val="1"/>
        <sz val="10"/>
        <color rgb="FF666666"/>
      </font>
      <fill>
        <patternFill patternType="solid">
          <fgColor rgb="FFE7E6E6"/>
        </patternFill>
      </fill>
    </dxf>
    <dxf>
      <font>
        <name val="Microsoft YaHei"/>
        <scheme val="none"/>
        <b val="1"/>
        <sz val="10"/>
        <color rgb="FFFFFFFF"/>
      </font>
      <fill>
        <patternFill patternType="solid">
          <fgColor rgb="FF990000"/>
        </patternFill>
      </fill>
    </dxf>
    <dxf>
      <font>
        <name val="Microsoft YaHei"/>
        <scheme val="none"/>
        <b val="1"/>
        <sz val="10"/>
        <color rgb="FF7F6000"/>
      </font>
      <fill>
        <patternFill patternType="solid">
          <fgColor rgb="FFFFF2CC"/>
        </patternFill>
      </fill>
    </dxf>
    <dxf>
      <font>
        <name val="Microsoft YaHei"/>
        <scheme val="none"/>
        <b val="1"/>
        <sz val="10"/>
        <color rgb="FF375623"/>
      </font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portManualSummaryTable" displayName="ReportManualSummaryTable" ref="A9:I18">
  <autoFilter xmlns:etc="http://www.wps.cn/officeDocument/2017/etCustomData" ref="A9:I18" etc:filterBottomFollowUsedRange="0"/>
  <tableColumns count="9">
    <tableColumn id="1" name="模块"/>
    <tableColumn id="2" name="用例数"/>
    <tableColumn id="3" name="P0"/>
    <tableColumn id="4" name="未执行"/>
    <tableColumn id="5" name="是否通过-是"/>
    <tableColumn id="6" name="是否通过-否"/>
    <tableColumn id="7" name="严重缺陷"/>
    <tableColumn id="8" name="已完成修复"/>
    <tableColumn id="9" name="回归通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ortManualCases01" displayName="ReportManualCases01" ref="A3:P7">
  <autoFilter xmlns:etc="http://www.wps.cn/officeDocument/2017/etCustomData" ref="A3:P7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ortManualCases02" displayName="ReportManualCases02" ref="A3:P9">
  <autoFilter xmlns:etc="http://www.wps.cn/officeDocument/2017/etCustomData" ref="A3:P9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ortManualCases03" displayName="ReportManualCases03" ref="A3:P9">
  <autoFilter xmlns:etc="http://www.wps.cn/officeDocument/2017/etCustomData" ref="A3:P9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ortManualCases04" displayName="ReportManualCases04" ref="A3:P6">
  <autoFilter xmlns:etc="http://www.wps.cn/officeDocument/2017/etCustomData" ref="A3:P6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ortManualCases05" displayName="ReportManualCases05" ref="A3:P6">
  <autoFilter xmlns:etc="http://www.wps.cn/officeDocument/2017/etCustomData" ref="A3:P6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portManualCases06" displayName="ReportManualCases06" ref="A3:P8">
  <autoFilter xmlns:etc="http://www.wps.cn/officeDocument/2017/etCustomData" ref="A3:P8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portManualCases07" displayName="ReportManualCases07" ref="A3:P8">
  <autoFilter xmlns:etc="http://www.wps.cn/officeDocument/2017/etCustomData" ref="A3:P8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portManualCases08" displayName="ReportManualCases08" ref="A3:P6">
  <autoFilter xmlns:etc="http://www.wps.cn/officeDocument/2017/etCustomData" ref="A3:P6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showGridLines="0" topLeftCell="A8" workbookViewId="0">
      <selection activeCell="B4" sqref="B4:C4"/>
    </sheetView>
  </sheetViews>
  <sheetFormatPr defaultColWidth="9" defaultRowHeight="13.5"/>
  <cols>
    <col min="1" max="1" width="18" customWidth="1"/>
    <col min="2" max="2" width="26" customWidth="1"/>
    <col min="3" max="3" width="24" customWidth="1"/>
    <col min="4" max="4" width="18" customWidth="1"/>
    <col min="5" max="5" width="24" customWidth="1"/>
    <col min="6" max="7" width="18" customWidth="1"/>
    <col min="8" max="8" width="22" customWidth="1"/>
    <col min="9" max="9" width="18" customWidth="1"/>
  </cols>
  <sheetData>
    <row r="1" ht="38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ht="30" customHeight="1" spans="1:9">
      <c r="A4" s="11" t="s">
        <v>2</v>
      </c>
      <c r="B4" s="12" t="s">
        <v>3</v>
      </c>
      <c r="C4" s="12"/>
      <c r="D4" s="11" t="s">
        <v>4</v>
      </c>
      <c r="E4" s="13">
        <v>46244</v>
      </c>
      <c r="F4" s="12"/>
      <c r="G4" s="11" t="s">
        <v>5</v>
      </c>
      <c r="H4" s="12">
        <f>SUM(B10:B17)</f>
        <v>35</v>
      </c>
      <c r="I4" s="12"/>
    </row>
    <row r="5" ht="36" customHeight="1" spans="1:9">
      <c r="A5" s="11" t="s">
        <v>6</v>
      </c>
      <c r="B5" s="12" t="s">
        <v>7</v>
      </c>
      <c r="C5" s="12"/>
      <c r="D5" s="12"/>
      <c r="E5" s="12"/>
      <c r="F5" s="12"/>
      <c r="G5" s="11" t="s">
        <v>8</v>
      </c>
      <c r="H5" s="12" t="s">
        <v>9</v>
      </c>
      <c r="I5" s="12"/>
    </row>
    <row r="6" ht="42" customHeight="1" spans="1:9">
      <c r="A6" s="11" t="s">
        <v>10</v>
      </c>
      <c r="B6" s="12" t="s">
        <v>11</v>
      </c>
      <c r="C6" s="12"/>
      <c r="D6" s="12"/>
      <c r="E6" s="12"/>
      <c r="F6" s="12"/>
      <c r="G6" s="12"/>
      <c r="H6" s="12"/>
      <c r="I6" s="12"/>
    </row>
    <row r="8" ht="15.75" spans="1:9">
      <c r="A8" s="14" t="s">
        <v>12</v>
      </c>
      <c r="B8" s="14"/>
      <c r="C8" s="14"/>
      <c r="D8" s="14"/>
      <c r="E8" s="14"/>
      <c r="F8" s="14"/>
      <c r="G8" s="14"/>
      <c r="H8" s="14"/>
      <c r="I8" s="14"/>
    </row>
    <row r="9" ht="32" customHeight="1" spans="1:9">
      <c r="A9" s="3" t="s">
        <v>13</v>
      </c>
      <c r="B9" s="3" t="s">
        <v>14</v>
      </c>
      <c r="C9" s="3" t="s">
        <v>15</v>
      </c>
      <c r="D9" s="3" t="s">
        <v>9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</row>
    <row r="10" ht="26" customHeight="1" spans="1:9">
      <c r="A10" s="15" t="s">
        <v>21</v>
      </c>
      <c r="B10" s="15">
        <f>COUNTA(入口与权限!$A$4:$A$7)</f>
        <v>4</v>
      </c>
      <c r="C10" s="15">
        <f>COUNTIF(入口与权限!$D$4:$D$7,"P0")</f>
        <v>4</v>
      </c>
      <c r="D10" s="15">
        <f>COUNTIF(入口与权限!$J$4:$J$7,"未执行")</f>
        <v>0</v>
      </c>
      <c r="E10" s="15">
        <f>COUNTIF(入口与权限!$K$4:$K$7,"是")</f>
        <v>4</v>
      </c>
      <c r="F10" s="15">
        <f>COUNTIF(入口与权限!$K$4:$K$7,"否")</f>
        <v>0</v>
      </c>
      <c r="G10" s="15">
        <f>COUNTIF(入口与权限!$L$4:$L$7,"阻塞")+COUNTIF(入口与权限!$L$4:$L$7,"高")</f>
        <v>0</v>
      </c>
      <c r="H10" s="15">
        <f>COUNTIF(入口与权限!$O$4:$O$7,"已完成")</f>
        <v>0</v>
      </c>
      <c r="I10" s="15">
        <f>COUNTIF(入口与权限!$P$4:$P$7,"通过")</f>
        <v>0</v>
      </c>
    </row>
    <row r="11" ht="26" customHeight="1" spans="1:9">
      <c r="A11" s="16" t="s">
        <v>22</v>
      </c>
      <c r="B11" s="16">
        <f>COUNTA(错题形成与累计!$A$4:$A$9)</f>
        <v>6</v>
      </c>
      <c r="C11" s="16">
        <f>COUNTIF(错题形成与累计!$D$4:$D$9,"P0")</f>
        <v>6</v>
      </c>
      <c r="D11" s="16">
        <f>COUNTIF(错题形成与累计!$J$4:$J$9,"未执行")</f>
        <v>0</v>
      </c>
      <c r="E11" s="16">
        <f>COUNTIF(错题形成与累计!$K$4:$K$9,"是")</f>
        <v>3</v>
      </c>
      <c r="F11" s="16">
        <f>COUNTIF(错题形成与累计!$K$4:$K$9,"否")</f>
        <v>3</v>
      </c>
      <c r="G11" s="16">
        <f>COUNTIF(错题形成与累计!$L$4:$L$9,"阻塞")+COUNTIF(错题形成与累计!$L$4:$L$9,"高")</f>
        <v>2</v>
      </c>
      <c r="H11" s="16">
        <f>COUNTIF(错题形成与累计!$O$4:$O$9,"已完成")</f>
        <v>0</v>
      </c>
      <c r="I11" s="16">
        <f>COUNTIF(错题形成与累计!$P$4:$P$9,"通过")</f>
        <v>0</v>
      </c>
    </row>
    <row r="12" ht="26" customHeight="1" spans="1:9">
      <c r="A12" s="15" t="s">
        <v>23</v>
      </c>
      <c r="B12" s="15">
        <f>COUNTA(筛选与查询!$A$4:$A$9)</f>
        <v>6</v>
      </c>
      <c r="C12" s="15">
        <f>COUNTIF(筛选与查询!$D$4:$D$9,"P0")</f>
        <v>6</v>
      </c>
      <c r="D12" s="15">
        <f>COUNTIF(筛选与查询!$J$4:$J$9,"未执行")</f>
        <v>0</v>
      </c>
      <c r="E12" s="15">
        <f>COUNTIF(筛选与查询!$K$4:$K$9,"是")</f>
        <v>4</v>
      </c>
      <c r="F12" s="15">
        <f>COUNTIF(筛选与查询!$K$4:$K$9,"否")</f>
        <v>2</v>
      </c>
      <c r="G12" s="15">
        <f>COUNTIF(筛选与查询!$L$4:$L$9,"阻塞")+COUNTIF(筛选与查询!$L$4:$L$9,"高")</f>
        <v>1</v>
      </c>
      <c r="H12" s="15">
        <f>COUNTIF(筛选与查询!$O$4:$O$9,"已完成")</f>
        <v>0</v>
      </c>
      <c r="I12" s="15">
        <f>COUNTIF(筛选与查询!$P$4:$P$9,"通过")</f>
        <v>0</v>
      </c>
    </row>
    <row r="13" ht="26" customHeight="1" spans="1:9">
      <c r="A13" s="16" t="s">
        <v>24</v>
      </c>
      <c r="B13" s="16">
        <f>COUNTA(卡片与排序!$A$4:$A$6)</f>
        <v>3</v>
      </c>
      <c r="C13" s="16">
        <f>COUNTIF(卡片与排序!$D$4:$D$6,"P0")</f>
        <v>3</v>
      </c>
      <c r="D13" s="16">
        <f>COUNTIF(卡片与排序!$J$4:$J$6,"未执行")</f>
        <v>1</v>
      </c>
      <c r="E13" s="16">
        <f>COUNTIF(卡片与排序!$K$4:$K$6,"是")</f>
        <v>0</v>
      </c>
      <c r="F13" s="16">
        <f>COUNTIF(卡片与排序!$K$4:$K$6,"否")</f>
        <v>2</v>
      </c>
      <c r="G13" s="16">
        <f>COUNTIF(卡片与排序!$L$4:$L$6,"阻塞")+COUNTIF(卡片与排序!$L$4:$L$6,"高")</f>
        <v>2</v>
      </c>
      <c r="H13" s="16">
        <f>COUNTIF(卡片与排序!$O$4:$O$6,"已完成")</f>
        <v>0</v>
      </c>
      <c r="I13" s="16">
        <f>COUNTIF(卡片与排序!$P$4:$P$6,"通过")</f>
        <v>0</v>
      </c>
    </row>
    <row r="14" ht="26" customHeight="1" spans="1:9">
      <c r="A14" s="15" t="s">
        <v>25</v>
      </c>
      <c r="B14" s="15">
        <f>COUNTA(分页与状态恢复!$A$4:$A$6)</f>
        <v>3</v>
      </c>
      <c r="C14" s="15">
        <f>COUNTIF(分页与状态恢复!$D$4:$D$6,"P0")</f>
        <v>3</v>
      </c>
      <c r="D14" s="15">
        <f>COUNTIF(分页与状态恢复!$J$4:$J$6,"未执行")</f>
        <v>0</v>
      </c>
      <c r="E14" s="15">
        <f>COUNTIF(分页与状态恢复!$K$4:$K$6,"是")</f>
        <v>3</v>
      </c>
      <c r="F14" s="15">
        <f>COUNTIF(分页与状态恢复!$K$4:$K$6,"否")</f>
        <v>0</v>
      </c>
      <c r="G14" s="15">
        <f>COUNTIF(分页与状态恢复!$L$4:$L$6,"阻塞")+COUNTIF(分页与状态恢复!$L$4:$L$6,"高")</f>
        <v>0</v>
      </c>
      <c r="H14" s="15">
        <f>COUNTIF(分页与状态恢复!$O$4:$O$6,"已完成")</f>
        <v>0</v>
      </c>
      <c r="I14" s="15">
        <f>COUNTIF(分页与状态恢复!$P$4:$P$6,"通过")</f>
        <v>0</v>
      </c>
    </row>
    <row r="15" ht="26" customHeight="1" spans="1:9">
      <c r="A15" s="16" t="s">
        <v>26</v>
      </c>
      <c r="B15" s="16">
        <f>COUNTA(单题解析!$A$4:$A$8)</f>
        <v>5</v>
      </c>
      <c r="C15" s="16">
        <f>COUNTIF(单题解析!$D$4:$D$8,"P0")</f>
        <v>5</v>
      </c>
      <c r="D15" s="16">
        <f>COUNTIF(单题解析!$J$4:$J$8,"未执行")</f>
        <v>2</v>
      </c>
      <c r="E15" s="16">
        <f>COUNTIF(单题解析!$K$4:$K$8,"是")</f>
        <v>2</v>
      </c>
      <c r="F15" s="16">
        <f>COUNTIF(单题解析!$K$4:$K$8,"否")</f>
        <v>1</v>
      </c>
      <c r="G15" s="16">
        <f>COUNTIF(单题解析!$L$4:$L$8,"阻塞")+COUNTIF(单题解析!$L$4:$L$8,"高")</f>
        <v>0</v>
      </c>
      <c r="H15" s="16">
        <f>COUNTIF(单题解析!$O$4:$O$8,"已完成")</f>
        <v>0</v>
      </c>
      <c r="I15" s="16">
        <f>COUNTIF(单题解析!$P$4:$P$8,"通过")</f>
        <v>0</v>
      </c>
    </row>
    <row r="16" ht="26" customHeight="1" spans="1:9">
      <c r="A16" s="15" t="s">
        <v>27</v>
      </c>
      <c r="B16" s="15">
        <f>COUNTA(异常容错!$A$4:$A$8)</f>
        <v>5</v>
      </c>
      <c r="C16" s="15">
        <f>COUNTIF(异常容错!$D$4:$D$8,"P0")</f>
        <v>5</v>
      </c>
      <c r="D16" s="15">
        <f>COUNTIF(异常容错!$J$4:$J$8,"未执行")</f>
        <v>5</v>
      </c>
      <c r="E16" s="15">
        <f>COUNTIF(异常容错!$K$4:$K$8,"是")</f>
        <v>0</v>
      </c>
      <c r="F16" s="15">
        <f>COUNTIF(异常容错!$K$4:$K$8,"否")</f>
        <v>0</v>
      </c>
      <c r="G16" s="15">
        <f>COUNTIF(异常容错!$L$4:$L$8,"阻塞")+COUNTIF(异常容错!$L$4:$L$8,"高")</f>
        <v>0</v>
      </c>
      <c r="H16" s="15">
        <f>COUNTIF(异常容错!$O$4:$O$8,"已完成")</f>
        <v>0</v>
      </c>
      <c r="I16" s="15">
        <f>COUNTIF(异常容错!$P$4:$P$8,"通过")</f>
        <v>0</v>
      </c>
    </row>
    <row r="17" ht="26" customHeight="1" spans="1:9">
      <c r="A17" s="16" t="s">
        <v>28</v>
      </c>
      <c r="B17" s="16">
        <f>COUNTA(后台内容变化!$A$4:$A$6)</f>
        <v>3</v>
      </c>
      <c r="C17" s="16">
        <f>COUNTIF(后台内容变化!$D$4:$D$6,"P0")</f>
        <v>3</v>
      </c>
      <c r="D17" s="16">
        <f>COUNTIF(后台内容变化!$J$4:$J$6,"未执行")</f>
        <v>3</v>
      </c>
      <c r="E17" s="16">
        <f>COUNTIF(后台内容变化!$K$4:$K$6,"是")</f>
        <v>0</v>
      </c>
      <c r="F17" s="16">
        <f>COUNTIF(后台内容变化!$K$4:$K$6,"否")</f>
        <v>0</v>
      </c>
      <c r="G17" s="16">
        <f>COUNTIF(后台内容变化!$L$4:$L$6,"阻塞")+COUNTIF(后台内容变化!$L$4:$L$6,"高")</f>
        <v>0</v>
      </c>
      <c r="H17" s="16">
        <f>COUNTIF(后台内容变化!$O$4:$O$6,"已完成")</f>
        <v>0</v>
      </c>
      <c r="I17" s="16">
        <f>COUNTIF(后台内容变化!$P$4:$P$6,"通过")</f>
        <v>0</v>
      </c>
    </row>
    <row r="18" ht="28" customHeight="1" spans="1:9">
      <c r="A18" s="17" t="s">
        <v>29</v>
      </c>
      <c r="B18" s="17">
        <f t="shared" ref="B18:I18" si="0">SUM(B10:B17)</f>
        <v>35</v>
      </c>
      <c r="C18" s="17">
        <f t="shared" si="0"/>
        <v>35</v>
      </c>
      <c r="D18" s="17">
        <f t="shared" si="0"/>
        <v>11</v>
      </c>
      <c r="E18" s="17">
        <f t="shared" si="0"/>
        <v>16</v>
      </c>
      <c r="F18" s="17">
        <f t="shared" si="0"/>
        <v>8</v>
      </c>
      <c r="G18" s="17">
        <f t="shared" si="0"/>
        <v>5</v>
      </c>
      <c r="H18" s="17">
        <f t="shared" si="0"/>
        <v>0</v>
      </c>
      <c r="I18" s="17">
        <f t="shared" si="0"/>
        <v>0</v>
      </c>
    </row>
    <row r="20" ht="15.75" spans="1:9">
      <c r="A20" s="14" t="s">
        <v>30</v>
      </c>
      <c r="B20" s="14"/>
      <c r="C20" s="14"/>
      <c r="D20" s="14"/>
      <c r="E20" s="14"/>
      <c r="F20" s="14"/>
      <c r="G20" s="14"/>
      <c r="H20" s="14"/>
      <c r="I20" s="14"/>
    </row>
    <row r="21" ht="38" customHeight="1" spans="1:9">
      <c r="A21" s="18" t="s">
        <v>31</v>
      </c>
      <c r="B21" s="19" t="s">
        <v>32</v>
      </c>
      <c r="C21" s="19"/>
      <c r="D21" s="19"/>
      <c r="E21" s="19"/>
      <c r="F21" s="19"/>
      <c r="G21" s="19"/>
      <c r="H21" s="19"/>
      <c r="I21" s="19"/>
    </row>
    <row r="22" ht="38" customHeight="1" spans="1:9">
      <c r="A22" s="18" t="s">
        <v>33</v>
      </c>
      <c r="B22" s="19" t="s">
        <v>34</v>
      </c>
      <c r="C22" s="19"/>
      <c r="D22" s="19"/>
      <c r="E22" s="19"/>
      <c r="F22" s="19"/>
      <c r="G22" s="19"/>
      <c r="H22" s="19"/>
      <c r="I22" s="19"/>
    </row>
    <row r="23" ht="38" customHeight="1" spans="1:9">
      <c r="A23" s="18" t="s">
        <v>35</v>
      </c>
      <c r="B23" s="19" t="s">
        <v>36</v>
      </c>
      <c r="C23" s="19"/>
      <c r="D23" s="19"/>
      <c r="E23" s="19"/>
      <c r="F23" s="19"/>
      <c r="G23" s="19"/>
      <c r="H23" s="19"/>
      <c r="I23" s="19"/>
    </row>
    <row r="24" ht="38" customHeight="1" spans="1:9">
      <c r="A24" s="18" t="s">
        <v>37</v>
      </c>
      <c r="B24" s="19" t="s">
        <v>38</v>
      </c>
      <c r="C24" s="19"/>
      <c r="D24" s="19"/>
      <c r="E24" s="19"/>
      <c r="F24" s="19"/>
      <c r="G24" s="19"/>
      <c r="H24" s="19"/>
      <c r="I24" s="19"/>
    </row>
    <row r="25" ht="38" customHeight="1" spans="1:9">
      <c r="A25" s="18" t="s">
        <v>39</v>
      </c>
      <c r="B25" s="19" t="s">
        <v>40</v>
      </c>
      <c r="C25" s="19"/>
      <c r="D25" s="19"/>
      <c r="E25" s="19"/>
      <c r="F25" s="19"/>
      <c r="G25" s="19"/>
      <c r="H25" s="19"/>
      <c r="I25" s="19"/>
    </row>
  </sheetData>
  <mergeCells count="15">
    <mergeCell ref="A1:I1"/>
    <mergeCell ref="A2:I2"/>
    <mergeCell ref="B4:C4"/>
    <mergeCell ref="E4:F4"/>
    <mergeCell ref="H4:I4"/>
    <mergeCell ref="B5:F5"/>
    <mergeCell ref="H5:I5"/>
    <mergeCell ref="B6:I6"/>
    <mergeCell ref="A8:I8"/>
    <mergeCell ref="A20:I20"/>
    <mergeCell ref="B21:I21"/>
    <mergeCell ref="B22:I22"/>
    <mergeCell ref="B23:I23"/>
    <mergeCell ref="B24:I24"/>
    <mergeCell ref="B25:I25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"/>
  <sheetViews>
    <sheetView showGridLines="0" workbookViewId="0">
      <pane xSplit="5" ySplit="3" topLeftCell="I4" activePane="bottomRight" state="frozen"/>
      <selection/>
      <selection pane="topRight"/>
      <selection pane="bottomLeft"/>
      <selection pane="bottomRight" activeCell="K6" sqref="K6"/>
    </sheetView>
  </sheetViews>
  <sheetFormatPr defaultColWidth="9" defaultRowHeight="13.5" outlineLevelRow="6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12" customHeight="1" spans="1:16">
      <c r="A4" s="4" t="s">
        <v>59</v>
      </c>
      <c r="B4" s="4" t="s">
        <v>21</v>
      </c>
      <c r="C4" s="5" t="s">
        <v>60</v>
      </c>
      <c r="D4" s="4" t="s">
        <v>15</v>
      </c>
      <c r="E4" s="4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6" t="s">
        <v>66</v>
      </c>
      <c r="K4" s="6" t="s">
        <v>67</v>
      </c>
      <c r="L4" s="6"/>
      <c r="M4" s="7"/>
      <c r="N4" s="7"/>
      <c r="O4" s="6"/>
      <c r="P4" s="6"/>
    </row>
    <row r="5" ht="112" customHeight="1" spans="1:16">
      <c r="A5" s="8" t="s">
        <v>68</v>
      </c>
      <c r="B5" s="8" t="s">
        <v>21</v>
      </c>
      <c r="C5" s="9" t="s">
        <v>69</v>
      </c>
      <c r="D5" s="8" t="s">
        <v>15</v>
      </c>
      <c r="E5" s="8" t="s">
        <v>70</v>
      </c>
      <c r="F5" s="9" t="s">
        <v>71</v>
      </c>
      <c r="G5" s="9" t="s">
        <v>72</v>
      </c>
      <c r="H5" s="9" t="s">
        <v>73</v>
      </c>
      <c r="I5" s="9" t="s">
        <v>74</v>
      </c>
      <c r="J5" s="6" t="s">
        <v>66</v>
      </c>
      <c r="K5" s="6" t="s">
        <v>67</v>
      </c>
      <c r="L5" s="6"/>
      <c r="M5" s="7"/>
      <c r="N5" s="7"/>
      <c r="O5" s="6"/>
      <c r="P5" s="6"/>
    </row>
    <row r="6" ht="112" customHeight="1" spans="1:16">
      <c r="A6" s="4" t="s">
        <v>75</v>
      </c>
      <c r="B6" s="4" t="s">
        <v>21</v>
      </c>
      <c r="C6" s="5" t="s">
        <v>76</v>
      </c>
      <c r="D6" s="4" t="s">
        <v>15</v>
      </c>
      <c r="E6" s="4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6" t="s">
        <v>66</v>
      </c>
      <c r="K6" s="6" t="s">
        <v>67</v>
      </c>
      <c r="L6" s="6"/>
      <c r="M6" s="7"/>
      <c r="N6" s="7"/>
      <c r="O6" s="6"/>
      <c r="P6" s="6"/>
    </row>
    <row r="7" ht="112" customHeight="1" spans="1:16">
      <c r="A7" s="8" t="s">
        <v>82</v>
      </c>
      <c r="B7" s="8" t="s">
        <v>21</v>
      </c>
      <c r="C7" s="9" t="s">
        <v>83</v>
      </c>
      <c r="D7" s="8" t="s">
        <v>15</v>
      </c>
      <c r="E7" s="8" t="s">
        <v>61</v>
      </c>
      <c r="F7" s="9" t="s">
        <v>84</v>
      </c>
      <c r="G7" s="9" t="s">
        <v>85</v>
      </c>
      <c r="H7" s="9" t="s">
        <v>86</v>
      </c>
      <c r="I7" s="9" t="s">
        <v>87</v>
      </c>
      <c r="J7" s="6" t="s">
        <v>66</v>
      </c>
      <c r="K7" s="6" t="s">
        <v>67</v>
      </c>
      <c r="L7" s="6"/>
      <c r="M7" s="7"/>
      <c r="N7" s="7"/>
      <c r="O7" s="6"/>
      <c r="P7" s="6"/>
    </row>
  </sheetData>
  <mergeCells count="2">
    <mergeCell ref="A1:P1"/>
    <mergeCell ref="A2:P2"/>
  </mergeCells>
  <conditionalFormatting sqref="D4:D7">
    <cfRule type="expression" dxfId="0" priority="1">
      <formula>$D4="P0"</formula>
    </cfRule>
    <cfRule type="expression" dxfId="1" priority="2">
      <formula>$D4="P1"</formula>
    </cfRule>
  </conditionalFormatting>
  <conditionalFormatting sqref="J4:J7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7">
    <cfRule type="expression" dxfId="2" priority="7">
      <formula>$K4="是"</formula>
    </cfRule>
    <cfRule type="expression" dxfId="0" priority="8">
      <formula>$K4="否"</formula>
    </cfRule>
  </conditionalFormatting>
  <conditionalFormatting sqref="L4:L7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7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7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7">
      <formula1>"P0,P1,P2,P3"</formula1>
    </dataValidation>
    <dataValidation type="list" allowBlank="1" errorTitle="输入无效" error="请选择下拉列表中的值" promptTitle="可选值" prompt="请从列表中选择" sqref="E4:E7">
      <formula1>"功能,流程,校验,权限,安全,异常"</formula1>
    </dataValidation>
    <dataValidation type="list" allowBlank="1" errorTitle="输入无效" error="请选择下拉列表中的值" promptTitle="可选值" prompt="请从列表中选择" sqref="J4:J7">
      <formula1>"未执行,通过,失败,阻塞,不适用"</formula1>
    </dataValidation>
    <dataValidation type="list" allowBlank="1" errorTitle="输入无效" error="请选择下拉列表中的值" promptTitle="可选值" prompt="请从列表中选择" sqref="K4:K7">
      <formula1>"是,否"</formula1>
    </dataValidation>
    <dataValidation type="list" allowBlank="1" errorTitle="输入无效" error="请选择下拉列表中的值" promptTitle="可选值" prompt="请从列表中选择" sqref="L4:L7">
      <formula1>"阻塞,高,中,低,轻微"</formula1>
    </dataValidation>
    <dataValidation type="list" allowBlank="1" errorTitle="输入无效" error="请选择下拉列表中的值" promptTitle="可选值" prompt="请从列表中选择" sqref="O4:O7">
      <formula1>"已完成,待讨论,暂不修复"</formula1>
    </dataValidation>
    <dataValidation type="list" allowBlank="1" errorTitle="输入无效" error="请选择下拉列表中的值" promptTitle="可选值" prompt="请从列表中选择" sqref="P4:P7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9"/>
  <sheetViews>
    <sheetView showGridLines="0" workbookViewId="0">
      <pane xSplit="5" ySplit="3" topLeftCell="J4" activePane="bottomRight" state="frozen"/>
      <selection/>
      <selection pane="topRight"/>
      <selection pane="bottomLeft"/>
      <selection pane="bottomRight" activeCell="M10" sqref="M10"/>
    </sheetView>
  </sheetViews>
  <sheetFormatPr defaultColWidth="9" defaultRowHeight="13.5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52.65" spans="1:16">
      <c r="A4" s="4" t="s">
        <v>89</v>
      </c>
      <c r="B4" s="4" t="s">
        <v>22</v>
      </c>
      <c r="C4" s="5" t="s">
        <v>90</v>
      </c>
      <c r="D4" s="4" t="s">
        <v>15</v>
      </c>
      <c r="E4" s="4" t="s">
        <v>70</v>
      </c>
      <c r="F4" s="5" t="s">
        <v>91</v>
      </c>
      <c r="G4" s="5" t="s">
        <v>92</v>
      </c>
      <c r="H4" s="5" t="s">
        <v>93</v>
      </c>
      <c r="I4" s="5" t="s">
        <v>94</v>
      </c>
      <c r="J4" s="6" t="s">
        <v>95</v>
      </c>
      <c r="K4" s="6" t="s">
        <v>96</v>
      </c>
      <c r="L4" s="6" t="s">
        <v>97</v>
      </c>
      <c r="M4" s="7" t="s">
        <v>98</v>
      </c>
      <c r="N4" s="7"/>
      <c r="O4" s="6"/>
      <c r="P4" s="6"/>
    </row>
    <row r="5" ht="127" customHeight="1" spans="1:16">
      <c r="A5" s="8" t="s">
        <v>99</v>
      </c>
      <c r="B5" s="8" t="s">
        <v>22</v>
      </c>
      <c r="C5" s="9" t="s">
        <v>100</v>
      </c>
      <c r="D5" s="8" t="s">
        <v>15</v>
      </c>
      <c r="E5" s="8" t="s">
        <v>70</v>
      </c>
      <c r="F5" s="9" t="s">
        <v>101</v>
      </c>
      <c r="G5" s="9" t="s">
        <v>102</v>
      </c>
      <c r="H5" s="9" t="s">
        <v>103</v>
      </c>
      <c r="I5" s="9" t="s">
        <v>104</v>
      </c>
      <c r="J5" s="6" t="s">
        <v>95</v>
      </c>
      <c r="K5" s="6" t="s">
        <v>96</v>
      </c>
      <c r="L5" s="6" t="s">
        <v>97</v>
      </c>
      <c r="M5" s="7" t="s">
        <v>105</v>
      </c>
      <c r="N5" s="7"/>
      <c r="O5" s="6"/>
      <c r="P5" s="6"/>
    </row>
    <row r="6" ht="127" customHeight="1" spans="1:16">
      <c r="A6" s="4" t="s">
        <v>106</v>
      </c>
      <c r="B6" s="4" t="s">
        <v>22</v>
      </c>
      <c r="C6" s="5" t="s">
        <v>107</v>
      </c>
      <c r="D6" s="4" t="s">
        <v>15</v>
      </c>
      <c r="E6" s="4" t="s">
        <v>70</v>
      </c>
      <c r="F6" s="5" t="s">
        <v>108</v>
      </c>
      <c r="G6" s="5" t="s">
        <v>109</v>
      </c>
      <c r="H6" s="5" t="s">
        <v>110</v>
      </c>
      <c r="I6" s="5" t="s">
        <v>111</v>
      </c>
      <c r="J6" s="6" t="s">
        <v>66</v>
      </c>
      <c r="K6" s="6" t="s">
        <v>67</v>
      </c>
      <c r="L6" s="6"/>
      <c r="M6" s="7"/>
      <c r="N6" s="7"/>
      <c r="O6" s="6"/>
      <c r="P6" s="6"/>
    </row>
    <row r="7" ht="127" customHeight="1" spans="1:16">
      <c r="A7" s="8" t="s">
        <v>112</v>
      </c>
      <c r="B7" s="8" t="s">
        <v>22</v>
      </c>
      <c r="C7" s="9" t="s">
        <v>113</v>
      </c>
      <c r="D7" s="8" t="s">
        <v>15</v>
      </c>
      <c r="E7" s="8" t="s">
        <v>70</v>
      </c>
      <c r="F7" s="9" t="s">
        <v>114</v>
      </c>
      <c r="G7" s="9" t="s">
        <v>115</v>
      </c>
      <c r="H7" s="9" t="s">
        <v>116</v>
      </c>
      <c r="I7" s="9" t="s">
        <v>117</v>
      </c>
      <c r="J7" s="6" t="s">
        <v>66</v>
      </c>
      <c r="K7" s="6" t="s">
        <v>67</v>
      </c>
      <c r="L7" s="6"/>
      <c r="M7" s="7"/>
      <c r="N7" s="7"/>
      <c r="O7" s="6"/>
      <c r="P7" s="6"/>
    </row>
    <row r="8" ht="127" customHeight="1" spans="1:16">
      <c r="A8" s="4" t="s">
        <v>118</v>
      </c>
      <c r="B8" s="4" t="s">
        <v>22</v>
      </c>
      <c r="C8" s="5" t="s">
        <v>119</v>
      </c>
      <c r="D8" s="4" t="s">
        <v>15</v>
      </c>
      <c r="E8" s="4" t="s">
        <v>70</v>
      </c>
      <c r="F8" s="5" t="s">
        <v>120</v>
      </c>
      <c r="G8" s="5" t="s">
        <v>121</v>
      </c>
      <c r="H8" s="5" t="s">
        <v>122</v>
      </c>
      <c r="I8" s="5" t="s">
        <v>123</v>
      </c>
      <c r="J8" s="6" t="s">
        <v>66</v>
      </c>
      <c r="K8" s="6" t="s">
        <v>67</v>
      </c>
      <c r="L8" s="6"/>
      <c r="M8" s="7"/>
      <c r="N8" s="7"/>
      <c r="O8" s="6"/>
      <c r="P8" s="6"/>
    </row>
    <row r="9" ht="127" customHeight="1" spans="1:16">
      <c r="A9" s="8" t="s">
        <v>124</v>
      </c>
      <c r="B9" s="8" t="s">
        <v>22</v>
      </c>
      <c r="C9" s="9" t="s">
        <v>125</v>
      </c>
      <c r="D9" s="8" t="s">
        <v>15</v>
      </c>
      <c r="E9" s="8" t="s">
        <v>126</v>
      </c>
      <c r="F9" s="9" t="s">
        <v>127</v>
      </c>
      <c r="G9" s="9" t="s">
        <v>128</v>
      </c>
      <c r="H9" s="9" t="s">
        <v>129</v>
      </c>
      <c r="I9" s="9" t="s">
        <v>130</v>
      </c>
      <c r="J9" s="6" t="s">
        <v>95</v>
      </c>
      <c r="K9" s="6" t="s">
        <v>96</v>
      </c>
      <c r="L9" s="6" t="s">
        <v>131</v>
      </c>
      <c r="M9" s="7" t="s">
        <v>132</v>
      </c>
      <c r="N9" s="7"/>
      <c r="O9" s="6"/>
      <c r="P9" s="6"/>
    </row>
  </sheetData>
  <mergeCells count="2">
    <mergeCell ref="A1:P1"/>
    <mergeCell ref="A2:P2"/>
  </mergeCells>
  <conditionalFormatting sqref="D4:D9">
    <cfRule type="expression" dxfId="0" priority="1">
      <formula>$D4="P0"</formula>
    </cfRule>
    <cfRule type="expression" dxfId="1" priority="2">
      <formula>$D4="P1"</formula>
    </cfRule>
  </conditionalFormatting>
  <conditionalFormatting sqref="J4:J9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9">
    <cfRule type="expression" dxfId="2" priority="7">
      <formula>$K4="是"</formula>
    </cfRule>
    <cfRule type="expression" dxfId="0" priority="8">
      <formula>$K4="否"</formula>
    </cfRule>
  </conditionalFormatting>
  <conditionalFormatting sqref="L4:L9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9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9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9">
      <formula1>"P0,P1,P2,P3"</formula1>
    </dataValidation>
    <dataValidation type="list" allowBlank="1" errorTitle="输入无效" error="请选择下拉列表中的值" promptTitle="可选值" prompt="请从列表中选择" sqref="E4:E9">
      <formula1>"功能,流程,校验,权限,安全,异常"</formula1>
    </dataValidation>
    <dataValidation type="list" allowBlank="1" errorTitle="输入无效" error="请选择下拉列表中的值" promptTitle="可选值" prompt="请从列表中选择" sqref="J4:J9">
      <formula1>"未执行,通过,失败,阻塞,不适用"</formula1>
    </dataValidation>
    <dataValidation type="list" allowBlank="1" errorTitle="输入无效" error="请选择下拉列表中的值" promptTitle="可选值" prompt="请从列表中选择" sqref="K4:K9">
      <formula1>"是,否"</formula1>
    </dataValidation>
    <dataValidation type="list" allowBlank="1" errorTitle="输入无效" error="请选择下拉列表中的值" promptTitle="可选值" prompt="请从列表中选择" sqref="L4:L9">
      <formula1>"阻塞,高,中,低,轻微"</formula1>
    </dataValidation>
    <dataValidation type="list" allowBlank="1" errorTitle="输入无效" error="请选择下拉列表中的值" promptTitle="可选值" prompt="请从列表中选择" sqref="O4:O9">
      <formula1>"已完成,待讨论,暂不修复"</formula1>
    </dataValidation>
    <dataValidation type="list" allowBlank="1" errorTitle="输入无效" error="请选择下拉列表中的值" promptTitle="可选值" prompt="请从列表中选择" sqref="P4:P9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9"/>
  <sheetViews>
    <sheetView showGridLines="0" workbookViewId="0">
      <pane xSplit="5" ySplit="3" topLeftCell="I7" activePane="bottomRight" state="frozen"/>
      <selection/>
      <selection pane="topRight"/>
      <selection pane="bottomLeft"/>
      <selection pane="bottomRight" activeCell="I9" sqref="I9"/>
    </sheetView>
  </sheetViews>
  <sheetFormatPr defaultColWidth="9" defaultRowHeight="13.5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27" customHeight="1" spans="1:16">
      <c r="A4" s="4" t="s">
        <v>134</v>
      </c>
      <c r="B4" s="4" t="s">
        <v>23</v>
      </c>
      <c r="C4" s="5" t="s">
        <v>135</v>
      </c>
      <c r="D4" s="4" t="s">
        <v>15</v>
      </c>
      <c r="E4" s="4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6" t="s">
        <v>66</v>
      </c>
      <c r="K4" s="6" t="s">
        <v>67</v>
      </c>
      <c r="L4" s="6"/>
      <c r="M4" s="7"/>
      <c r="N4" s="7"/>
      <c r="O4" s="6"/>
      <c r="P4" s="6"/>
    </row>
    <row r="5" ht="127" customHeight="1" spans="1:16">
      <c r="A5" s="8" t="s">
        <v>141</v>
      </c>
      <c r="B5" s="8" t="s">
        <v>23</v>
      </c>
      <c r="C5" s="9" t="s">
        <v>142</v>
      </c>
      <c r="D5" s="8" t="s">
        <v>15</v>
      </c>
      <c r="E5" s="8" t="s">
        <v>143</v>
      </c>
      <c r="F5" s="9" t="s">
        <v>144</v>
      </c>
      <c r="G5" s="9" t="s">
        <v>145</v>
      </c>
      <c r="H5" s="9" t="s">
        <v>146</v>
      </c>
      <c r="I5" s="9" t="s">
        <v>147</v>
      </c>
      <c r="J5" s="6" t="s">
        <v>95</v>
      </c>
      <c r="K5" s="6" t="s">
        <v>96</v>
      </c>
      <c r="L5" s="6" t="s">
        <v>131</v>
      </c>
      <c r="M5" s="7" t="s">
        <v>148</v>
      </c>
      <c r="N5" s="7"/>
      <c r="O5" s="6"/>
      <c r="P5" s="6"/>
    </row>
    <row r="6" ht="127" customHeight="1" spans="1:16">
      <c r="A6" s="4" t="s">
        <v>149</v>
      </c>
      <c r="B6" s="4" t="s">
        <v>23</v>
      </c>
      <c r="C6" s="5" t="s">
        <v>150</v>
      </c>
      <c r="D6" s="4" t="s">
        <v>15</v>
      </c>
      <c r="E6" s="4" t="s">
        <v>136</v>
      </c>
      <c r="F6" s="5" t="s">
        <v>151</v>
      </c>
      <c r="G6" s="5" t="s">
        <v>152</v>
      </c>
      <c r="H6" s="5" t="s">
        <v>153</v>
      </c>
      <c r="I6" s="5" t="s">
        <v>154</v>
      </c>
      <c r="J6" s="6" t="s">
        <v>66</v>
      </c>
      <c r="K6" s="6" t="s">
        <v>67</v>
      </c>
      <c r="L6" s="6"/>
      <c r="M6" s="7"/>
      <c r="N6" s="7"/>
      <c r="O6" s="6"/>
      <c r="P6" s="6"/>
    </row>
    <row r="7" ht="127" customHeight="1" spans="1:16">
      <c r="A7" s="8" t="s">
        <v>155</v>
      </c>
      <c r="B7" s="8" t="s">
        <v>23</v>
      </c>
      <c r="C7" s="9" t="s">
        <v>156</v>
      </c>
      <c r="D7" s="8" t="s">
        <v>15</v>
      </c>
      <c r="E7" s="8" t="s">
        <v>136</v>
      </c>
      <c r="F7" s="9" t="s">
        <v>157</v>
      </c>
      <c r="G7" s="9" t="s">
        <v>158</v>
      </c>
      <c r="H7" s="9" t="s">
        <v>159</v>
      </c>
      <c r="I7" s="9" t="s">
        <v>160</v>
      </c>
      <c r="J7" s="6" t="s">
        <v>66</v>
      </c>
      <c r="K7" s="6" t="s">
        <v>67</v>
      </c>
      <c r="L7" s="6"/>
      <c r="M7" s="7"/>
      <c r="N7" s="7"/>
      <c r="O7" s="6"/>
      <c r="P7" s="6"/>
    </row>
    <row r="8" ht="127" customHeight="1" spans="1:16">
      <c r="A8" s="4" t="s">
        <v>161</v>
      </c>
      <c r="B8" s="4" t="s">
        <v>23</v>
      </c>
      <c r="C8" s="5" t="s">
        <v>162</v>
      </c>
      <c r="D8" s="4" t="s">
        <v>15</v>
      </c>
      <c r="E8" s="4" t="s">
        <v>70</v>
      </c>
      <c r="F8" s="5" t="s">
        <v>163</v>
      </c>
      <c r="G8" s="5" t="s">
        <v>164</v>
      </c>
      <c r="H8" s="5" t="s">
        <v>165</v>
      </c>
      <c r="I8" s="5" t="s">
        <v>166</v>
      </c>
      <c r="J8" s="6" t="s">
        <v>66</v>
      </c>
      <c r="K8" s="6" t="s">
        <v>67</v>
      </c>
      <c r="L8" s="6"/>
      <c r="M8" s="7"/>
      <c r="N8" s="7"/>
      <c r="O8" s="6"/>
      <c r="P8" s="6"/>
    </row>
    <row r="9" ht="127" customHeight="1" spans="1:16">
      <c r="A9" s="8" t="s">
        <v>167</v>
      </c>
      <c r="B9" s="8" t="s">
        <v>23</v>
      </c>
      <c r="C9" s="9" t="s">
        <v>168</v>
      </c>
      <c r="D9" s="8" t="s">
        <v>15</v>
      </c>
      <c r="E9" s="8" t="s">
        <v>136</v>
      </c>
      <c r="F9" s="9" t="s">
        <v>169</v>
      </c>
      <c r="G9" s="9" t="s">
        <v>170</v>
      </c>
      <c r="H9" s="9" t="s">
        <v>171</v>
      </c>
      <c r="I9" s="9" t="s">
        <v>172</v>
      </c>
      <c r="J9" s="6" t="s">
        <v>95</v>
      </c>
      <c r="K9" s="6" t="s">
        <v>96</v>
      </c>
      <c r="L9" s="6" t="s">
        <v>97</v>
      </c>
      <c r="M9" s="7" t="s">
        <v>173</v>
      </c>
      <c r="N9" s="7"/>
      <c r="O9" s="6"/>
      <c r="P9" s="6"/>
    </row>
  </sheetData>
  <mergeCells count="2">
    <mergeCell ref="A1:P1"/>
    <mergeCell ref="A2:P2"/>
  </mergeCells>
  <conditionalFormatting sqref="D4:D9">
    <cfRule type="expression" dxfId="0" priority="1">
      <formula>$D4="P0"</formula>
    </cfRule>
    <cfRule type="expression" dxfId="1" priority="2">
      <formula>$D4="P1"</formula>
    </cfRule>
  </conditionalFormatting>
  <conditionalFormatting sqref="J4:J9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9">
    <cfRule type="expression" dxfId="2" priority="7">
      <formula>$K4="是"</formula>
    </cfRule>
    <cfRule type="expression" dxfId="0" priority="8">
      <formula>$K4="否"</formula>
    </cfRule>
  </conditionalFormatting>
  <conditionalFormatting sqref="L4:L9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9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9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9">
      <formula1>"P0,P1,P2,P3"</formula1>
    </dataValidation>
    <dataValidation type="list" allowBlank="1" errorTitle="输入无效" error="请选择下拉列表中的值" promptTitle="可选值" prompt="请从列表中选择" sqref="E4:E9">
      <formula1>"功能,流程,校验,权限,安全,异常"</formula1>
    </dataValidation>
    <dataValidation type="list" allowBlank="1" errorTitle="输入无效" error="请选择下拉列表中的值" promptTitle="可选值" prompt="请从列表中选择" sqref="J4:J9">
      <formula1>"未执行,通过,失败,阻塞,不适用"</formula1>
    </dataValidation>
    <dataValidation type="list" allowBlank="1" errorTitle="输入无效" error="请选择下拉列表中的值" promptTitle="可选值" prompt="请从列表中选择" sqref="K4:K9">
      <formula1>"是,否"</formula1>
    </dataValidation>
    <dataValidation type="list" allowBlank="1" errorTitle="输入无效" error="请选择下拉列表中的值" promptTitle="可选值" prompt="请从列表中选择" sqref="L4:L9">
      <formula1>"阻塞,高,中,低,轻微"</formula1>
    </dataValidation>
    <dataValidation type="list" allowBlank="1" errorTitle="输入无效" error="请选择下拉列表中的值" promptTitle="可选值" prompt="请从列表中选择" sqref="O4:O9">
      <formula1>"已完成,待讨论,暂不修复"</formula1>
    </dataValidation>
    <dataValidation type="list" allowBlank="1" errorTitle="输入无效" error="请选择下拉列表中的值" promptTitle="可选值" prompt="请从列表中选择" sqref="P4:P9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"/>
  <sheetViews>
    <sheetView showGridLines="0" workbookViewId="0">
      <pane xSplit="5" ySplit="3" topLeftCell="I4" activePane="bottomRight" state="frozen"/>
      <selection/>
      <selection pane="topRight"/>
      <selection pane="bottomLeft"/>
      <selection pane="bottomRight" activeCell="M5" sqref="M5"/>
    </sheetView>
  </sheetViews>
  <sheetFormatPr defaultColWidth="9" defaultRowHeight="13.5" outlineLevelRow="5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27" customHeight="1" spans="1:16">
      <c r="A4" s="4" t="s">
        <v>175</v>
      </c>
      <c r="B4" s="4" t="s">
        <v>24</v>
      </c>
      <c r="C4" s="5" t="s">
        <v>176</v>
      </c>
      <c r="D4" s="4" t="s">
        <v>15</v>
      </c>
      <c r="E4" s="4" t="s">
        <v>136</v>
      </c>
      <c r="F4" s="5" t="s">
        <v>177</v>
      </c>
      <c r="G4" s="5" t="s">
        <v>178</v>
      </c>
      <c r="H4" s="5" t="s">
        <v>179</v>
      </c>
      <c r="I4" s="5" t="s">
        <v>180</v>
      </c>
      <c r="J4" s="6" t="s">
        <v>95</v>
      </c>
      <c r="K4" s="6" t="s">
        <v>96</v>
      </c>
      <c r="L4" s="6" t="s">
        <v>97</v>
      </c>
      <c r="M4" s="7" t="s">
        <v>181</v>
      </c>
      <c r="N4" s="7" t="s">
        <v>182</v>
      </c>
      <c r="O4" s="6"/>
      <c r="P4" s="6"/>
    </row>
    <row r="5" ht="127" customHeight="1" spans="1:16">
      <c r="A5" s="8" t="s">
        <v>183</v>
      </c>
      <c r="B5" s="8" t="s">
        <v>24</v>
      </c>
      <c r="C5" s="9" t="s">
        <v>184</v>
      </c>
      <c r="D5" s="8" t="s">
        <v>15</v>
      </c>
      <c r="E5" s="8" t="s">
        <v>126</v>
      </c>
      <c r="F5" s="9" t="s">
        <v>185</v>
      </c>
      <c r="G5" s="9" t="s">
        <v>186</v>
      </c>
      <c r="H5" s="9" t="s">
        <v>187</v>
      </c>
      <c r="I5" s="9" t="s">
        <v>188</v>
      </c>
      <c r="J5" s="6" t="s">
        <v>9</v>
      </c>
      <c r="K5" s="6"/>
      <c r="L5" s="6"/>
      <c r="M5" s="7" t="s">
        <v>189</v>
      </c>
      <c r="N5" s="7"/>
      <c r="O5" s="6"/>
      <c r="P5" s="6"/>
    </row>
    <row r="6" ht="127" customHeight="1" spans="1:16">
      <c r="A6" s="4" t="s">
        <v>190</v>
      </c>
      <c r="B6" s="4" t="s">
        <v>24</v>
      </c>
      <c r="C6" s="5" t="s">
        <v>191</v>
      </c>
      <c r="D6" s="4" t="s">
        <v>15</v>
      </c>
      <c r="E6" s="4" t="s">
        <v>136</v>
      </c>
      <c r="F6" s="5" t="s">
        <v>192</v>
      </c>
      <c r="G6" s="5" t="s">
        <v>193</v>
      </c>
      <c r="H6" s="5" t="s">
        <v>194</v>
      </c>
      <c r="I6" s="5" t="s">
        <v>195</v>
      </c>
      <c r="J6" s="6" t="s">
        <v>95</v>
      </c>
      <c r="K6" s="6" t="s">
        <v>96</v>
      </c>
      <c r="L6" s="6" t="s">
        <v>97</v>
      </c>
      <c r="M6" s="7" t="s">
        <v>196</v>
      </c>
      <c r="N6" s="7"/>
      <c r="O6" s="6"/>
      <c r="P6" s="6"/>
    </row>
  </sheetData>
  <mergeCells count="2">
    <mergeCell ref="A1:P1"/>
    <mergeCell ref="A2:P2"/>
  </mergeCells>
  <conditionalFormatting sqref="D4:D6">
    <cfRule type="expression" dxfId="0" priority="1">
      <formula>$D4="P0"</formula>
    </cfRule>
    <cfRule type="expression" dxfId="1" priority="2">
      <formula>$D4="P1"</formula>
    </cfRule>
  </conditionalFormatting>
  <conditionalFormatting sqref="J4:J6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6">
    <cfRule type="expression" dxfId="2" priority="7">
      <formula>$K4="是"</formula>
    </cfRule>
    <cfRule type="expression" dxfId="0" priority="8">
      <formula>$K4="否"</formula>
    </cfRule>
  </conditionalFormatting>
  <conditionalFormatting sqref="L4:L6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6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6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6">
      <formula1>"P0,P1,P2,P3"</formula1>
    </dataValidation>
    <dataValidation type="list" allowBlank="1" errorTitle="输入无效" error="请选择下拉列表中的值" promptTitle="可选值" prompt="请从列表中选择" sqref="E4:E6">
      <formula1>"功能,流程,校验,权限,安全,异常"</formula1>
    </dataValidation>
    <dataValidation type="list" allowBlank="1" errorTitle="输入无效" error="请选择下拉列表中的值" promptTitle="可选值" prompt="请从列表中选择" sqref="J4:J6">
      <formula1>"未执行,通过,失败,阻塞,不适用"</formula1>
    </dataValidation>
    <dataValidation type="list" allowBlank="1" errorTitle="输入无效" error="请选择下拉列表中的值" promptTitle="可选值" prompt="请从列表中选择" sqref="K4:K6">
      <formula1>"是,否"</formula1>
    </dataValidation>
    <dataValidation type="list" allowBlank="1" errorTitle="输入无效" error="请选择下拉列表中的值" promptTitle="可选值" prompt="请从列表中选择" sqref="L4:L6">
      <formula1>"阻塞,高,中,低,轻微"</formula1>
    </dataValidation>
    <dataValidation type="list" allowBlank="1" errorTitle="输入无效" error="请选择下拉列表中的值" promptTitle="可选值" prompt="请从列表中选择" sqref="O4:O6">
      <formula1>"已完成,待讨论,暂不修复"</formula1>
    </dataValidation>
    <dataValidation type="list" allowBlank="1" errorTitle="输入无效" error="请选择下拉列表中的值" promptTitle="可选值" prompt="请从列表中选择" sqref="P4:P6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"/>
  <sheetViews>
    <sheetView showGridLines="0" workbookViewId="0">
      <pane xSplit="5" ySplit="3" topLeftCell="I4" activePane="bottomRight" state="frozen"/>
      <selection/>
      <selection pane="topRight"/>
      <selection pane="bottomLeft"/>
      <selection pane="bottomRight" activeCell="I6" sqref="I6"/>
    </sheetView>
  </sheetViews>
  <sheetFormatPr defaultColWidth="9" defaultRowHeight="13.5" outlineLevelRow="5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27" customHeight="1" spans="1:16">
      <c r="A4" s="4" t="s">
        <v>198</v>
      </c>
      <c r="B4" s="4" t="s">
        <v>25</v>
      </c>
      <c r="C4" s="5" t="s">
        <v>199</v>
      </c>
      <c r="D4" s="4" t="s">
        <v>15</v>
      </c>
      <c r="E4" s="4" t="s">
        <v>70</v>
      </c>
      <c r="F4" s="5" t="s">
        <v>200</v>
      </c>
      <c r="G4" s="5" t="s">
        <v>201</v>
      </c>
      <c r="H4" s="5" t="s">
        <v>202</v>
      </c>
      <c r="I4" s="5" t="s">
        <v>203</v>
      </c>
      <c r="J4" s="6" t="s">
        <v>66</v>
      </c>
      <c r="K4" s="6" t="s">
        <v>67</v>
      </c>
      <c r="L4" s="6"/>
      <c r="M4" s="7"/>
      <c r="N4" s="7"/>
      <c r="O4" s="6"/>
      <c r="P4" s="6"/>
    </row>
    <row r="5" ht="127" customHeight="1" spans="1:16">
      <c r="A5" s="8" t="s">
        <v>204</v>
      </c>
      <c r="B5" s="8" t="s">
        <v>25</v>
      </c>
      <c r="C5" s="9" t="s">
        <v>205</v>
      </c>
      <c r="D5" s="8" t="s">
        <v>15</v>
      </c>
      <c r="E5" s="8" t="s">
        <v>70</v>
      </c>
      <c r="F5" s="9" t="s">
        <v>206</v>
      </c>
      <c r="G5" s="9" t="s">
        <v>207</v>
      </c>
      <c r="H5" s="9" t="s">
        <v>208</v>
      </c>
      <c r="I5" s="9" t="s">
        <v>209</v>
      </c>
      <c r="J5" s="6" t="s">
        <v>66</v>
      </c>
      <c r="K5" s="6" t="s">
        <v>67</v>
      </c>
      <c r="L5" s="6"/>
      <c r="M5" s="7"/>
      <c r="N5" s="7"/>
      <c r="O5" s="6"/>
      <c r="P5" s="6"/>
    </row>
    <row r="6" ht="127" customHeight="1" spans="1:16">
      <c r="A6" s="4" t="s">
        <v>210</v>
      </c>
      <c r="B6" s="4" t="s">
        <v>25</v>
      </c>
      <c r="C6" s="5" t="s">
        <v>211</v>
      </c>
      <c r="D6" s="4" t="s">
        <v>15</v>
      </c>
      <c r="E6" s="4" t="s">
        <v>70</v>
      </c>
      <c r="F6" s="5" t="s">
        <v>212</v>
      </c>
      <c r="G6" s="5" t="s">
        <v>213</v>
      </c>
      <c r="H6" s="5" t="s">
        <v>214</v>
      </c>
      <c r="I6" s="5" t="s">
        <v>215</v>
      </c>
      <c r="J6" s="6" t="s">
        <v>66</v>
      </c>
      <c r="K6" s="6" t="s">
        <v>67</v>
      </c>
      <c r="L6" s="6"/>
      <c r="M6" s="7"/>
      <c r="N6" s="7"/>
      <c r="O6" s="6"/>
      <c r="P6" s="6"/>
    </row>
  </sheetData>
  <mergeCells count="2">
    <mergeCell ref="A1:P1"/>
    <mergeCell ref="A2:P2"/>
  </mergeCells>
  <conditionalFormatting sqref="D4:D6">
    <cfRule type="expression" dxfId="0" priority="1">
      <formula>$D4="P0"</formula>
    </cfRule>
    <cfRule type="expression" dxfId="1" priority="2">
      <formula>$D4="P1"</formula>
    </cfRule>
  </conditionalFormatting>
  <conditionalFormatting sqref="J4:J6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6">
    <cfRule type="expression" dxfId="2" priority="7">
      <formula>$K4="是"</formula>
    </cfRule>
    <cfRule type="expression" dxfId="0" priority="8">
      <formula>$K4="否"</formula>
    </cfRule>
  </conditionalFormatting>
  <conditionalFormatting sqref="L4:L6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6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6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6">
      <formula1>"P0,P1,P2,P3"</formula1>
    </dataValidation>
    <dataValidation type="list" allowBlank="1" errorTitle="输入无效" error="请选择下拉列表中的值" promptTitle="可选值" prompt="请从列表中选择" sqref="E4:E6">
      <formula1>"功能,流程,校验,权限,安全,异常"</formula1>
    </dataValidation>
    <dataValidation type="list" allowBlank="1" errorTitle="输入无效" error="请选择下拉列表中的值" promptTitle="可选值" prompt="请从列表中选择" sqref="J4:J6">
      <formula1>"未执行,通过,失败,阻塞,不适用"</formula1>
    </dataValidation>
    <dataValidation type="list" allowBlank="1" errorTitle="输入无效" error="请选择下拉列表中的值" promptTitle="可选值" prompt="请从列表中选择" sqref="K4:K6">
      <formula1>"是,否"</formula1>
    </dataValidation>
    <dataValidation type="list" allowBlank="1" errorTitle="输入无效" error="请选择下拉列表中的值" promptTitle="可选值" prompt="请从列表中选择" sqref="L4:L6">
      <formula1>"阻塞,高,中,低,轻微"</formula1>
    </dataValidation>
    <dataValidation type="list" allowBlank="1" errorTitle="输入无效" error="请选择下拉列表中的值" promptTitle="可选值" prompt="请从列表中选择" sqref="O4:O6">
      <formula1>"已完成,待讨论,暂不修复"</formula1>
    </dataValidation>
    <dataValidation type="list" allowBlank="1" errorTitle="输入无效" error="请选择下拉列表中的值" promptTitle="可选值" prompt="请从列表中选择" sqref="P4:P6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"/>
  <sheetViews>
    <sheetView showGridLines="0" tabSelected="1" workbookViewId="0">
      <pane xSplit="5" ySplit="3" topLeftCell="J6" activePane="bottomRight" state="frozen"/>
      <selection/>
      <selection pane="topRight"/>
      <selection pane="bottomLeft"/>
      <selection pane="bottomRight" activeCell="M8" sqref="M8"/>
    </sheetView>
  </sheetViews>
  <sheetFormatPr defaultColWidth="9" defaultRowHeight="13.5" outlineLevelRow="7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216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27" customHeight="1" spans="1:16">
      <c r="A4" s="4" t="s">
        <v>217</v>
      </c>
      <c r="B4" s="4" t="s">
        <v>26</v>
      </c>
      <c r="C4" s="5" t="s">
        <v>218</v>
      </c>
      <c r="D4" s="4" t="s">
        <v>15</v>
      </c>
      <c r="E4" s="4" t="s">
        <v>70</v>
      </c>
      <c r="F4" s="5" t="s">
        <v>219</v>
      </c>
      <c r="G4" s="5" t="s">
        <v>220</v>
      </c>
      <c r="H4" s="5" t="s">
        <v>221</v>
      </c>
      <c r="I4" s="5" t="s">
        <v>222</v>
      </c>
      <c r="J4" s="6" t="s">
        <v>66</v>
      </c>
      <c r="K4" s="6" t="s">
        <v>67</v>
      </c>
      <c r="L4" s="6"/>
      <c r="M4" s="7"/>
      <c r="N4" s="7"/>
      <c r="O4" s="6"/>
      <c r="P4" s="6"/>
    </row>
    <row r="5" ht="127" customHeight="1" spans="1:16">
      <c r="A5" s="8" t="s">
        <v>223</v>
      </c>
      <c r="B5" s="8" t="s">
        <v>26</v>
      </c>
      <c r="C5" s="9" t="s">
        <v>224</v>
      </c>
      <c r="D5" s="8" t="s">
        <v>15</v>
      </c>
      <c r="E5" s="8" t="s">
        <v>70</v>
      </c>
      <c r="F5" s="9" t="s">
        <v>225</v>
      </c>
      <c r="G5" s="9" t="s">
        <v>226</v>
      </c>
      <c r="H5" s="9" t="s">
        <v>227</v>
      </c>
      <c r="I5" s="9" t="s">
        <v>228</v>
      </c>
      <c r="J5" s="6" t="s">
        <v>66</v>
      </c>
      <c r="K5" s="6" t="s">
        <v>67</v>
      </c>
      <c r="L5" s="6"/>
      <c r="M5" s="7"/>
      <c r="N5" s="7"/>
      <c r="O5" s="6"/>
      <c r="P5" s="6"/>
    </row>
    <row r="6" ht="127" customHeight="1" spans="1:16">
      <c r="A6" s="4" t="s">
        <v>229</v>
      </c>
      <c r="B6" s="4" t="s">
        <v>26</v>
      </c>
      <c r="C6" s="5" t="s">
        <v>230</v>
      </c>
      <c r="D6" s="4" t="s">
        <v>15</v>
      </c>
      <c r="E6" s="4" t="s">
        <v>126</v>
      </c>
      <c r="F6" s="5" t="s">
        <v>231</v>
      </c>
      <c r="G6" s="5" t="s">
        <v>232</v>
      </c>
      <c r="H6" s="5" t="s">
        <v>233</v>
      </c>
      <c r="I6" s="5" t="s">
        <v>234</v>
      </c>
      <c r="J6" s="6" t="s">
        <v>9</v>
      </c>
      <c r="K6" s="6"/>
      <c r="L6" s="6"/>
      <c r="M6" s="7" t="s">
        <v>235</v>
      </c>
      <c r="N6" s="7"/>
      <c r="O6" s="6"/>
      <c r="P6" s="6"/>
    </row>
    <row r="7" ht="127" customHeight="1" spans="1:16">
      <c r="A7" s="8" t="s">
        <v>236</v>
      </c>
      <c r="B7" s="8" t="s">
        <v>26</v>
      </c>
      <c r="C7" s="9" t="s">
        <v>237</v>
      </c>
      <c r="D7" s="8" t="s">
        <v>15</v>
      </c>
      <c r="E7" s="8" t="s">
        <v>126</v>
      </c>
      <c r="F7" s="9" t="s">
        <v>238</v>
      </c>
      <c r="G7" s="9" t="s">
        <v>239</v>
      </c>
      <c r="H7" s="9" t="s">
        <v>240</v>
      </c>
      <c r="I7" s="9" t="s">
        <v>241</v>
      </c>
      <c r="J7" s="6" t="s">
        <v>9</v>
      </c>
      <c r="K7" s="6"/>
      <c r="L7" s="6"/>
      <c r="M7" s="7" t="s">
        <v>235</v>
      </c>
      <c r="N7" s="7"/>
      <c r="O7" s="6"/>
      <c r="P7" s="6"/>
    </row>
    <row r="8" ht="127" customHeight="1" spans="1:16">
      <c r="A8" s="4" t="s">
        <v>242</v>
      </c>
      <c r="B8" s="4" t="s">
        <v>26</v>
      </c>
      <c r="C8" s="5" t="s">
        <v>243</v>
      </c>
      <c r="D8" s="4" t="s">
        <v>15</v>
      </c>
      <c r="E8" s="4" t="s">
        <v>77</v>
      </c>
      <c r="F8" s="5" t="s">
        <v>244</v>
      </c>
      <c r="G8" s="5" t="s">
        <v>245</v>
      </c>
      <c r="H8" s="5" t="s">
        <v>246</v>
      </c>
      <c r="I8" s="5" t="s">
        <v>247</v>
      </c>
      <c r="J8" s="6" t="s">
        <v>66</v>
      </c>
      <c r="K8" s="6" t="s">
        <v>96</v>
      </c>
      <c r="L8" s="6" t="s">
        <v>248</v>
      </c>
      <c r="M8" s="7" t="s">
        <v>249</v>
      </c>
      <c r="N8" s="7" t="s">
        <v>250</v>
      </c>
      <c r="O8" s="6"/>
      <c r="P8" s="6"/>
    </row>
  </sheetData>
  <mergeCells count="2">
    <mergeCell ref="A1:P1"/>
    <mergeCell ref="A2:P2"/>
  </mergeCells>
  <conditionalFormatting sqref="D4:D8">
    <cfRule type="expression" dxfId="0" priority="1">
      <formula>$D4="P0"</formula>
    </cfRule>
    <cfRule type="expression" dxfId="1" priority="2">
      <formula>$D4="P1"</formula>
    </cfRule>
  </conditionalFormatting>
  <conditionalFormatting sqref="J4:J8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8">
    <cfRule type="expression" dxfId="2" priority="7">
      <formula>$K4="是"</formula>
    </cfRule>
    <cfRule type="expression" dxfId="0" priority="8">
      <formula>$K4="否"</formula>
    </cfRule>
  </conditionalFormatting>
  <conditionalFormatting sqref="L4:L8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8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8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>
      <formula1>"P0,P1,P2,P3"</formula1>
    </dataValidation>
    <dataValidation type="list" allowBlank="1" errorTitle="输入无效" error="请选择下拉列表中的值" promptTitle="可选值" prompt="请从列表中选择" sqref="E4:E8">
      <formula1>"功能,流程,校验,权限,安全,异常"</formula1>
    </dataValidation>
    <dataValidation type="list" allowBlank="1" errorTitle="输入无效" error="请选择下拉列表中的值" promptTitle="可选值" prompt="请从列表中选择" sqref="J4:J8">
      <formula1>"未执行,通过,失败,阻塞,不适用"</formula1>
    </dataValidation>
    <dataValidation type="list" allowBlank="1" errorTitle="输入无效" error="请选择下拉列表中的值" promptTitle="可选值" prompt="请从列表中选择" sqref="K4:K8">
      <formula1>"是,否"</formula1>
    </dataValidation>
    <dataValidation type="list" allowBlank="1" errorTitle="输入无效" error="请选择下拉列表中的值" promptTitle="可选值" prompt="请从列表中选择" sqref="L4:L8">
      <formula1>"阻塞,高,中,低,轻微"</formula1>
    </dataValidation>
    <dataValidation type="list" allowBlank="1" errorTitle="输入无效" error="请选择下拉列表中的值" promptTitle="可选值" prompt="请从列表中选择" sqref="O4:O8">
      <formula1>"已完成,待讨论,暂不修复"</formula1>
    </dataValidation>
    <dataValidation type="list" allowBlank="1" errorTitle="输入无效" error="请选择下拉列表中的值" promptTitle="可选值" prompt="请从列表中选择" sqref="P4:P8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"/>
  <sheetViews>
    <sheetView showGridLines="0" workbookViewId="0">
      <pane xSplit="5" ySplit="3" topLeftCell="F5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3.5" outlineLevelRow="7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27" customHeight="1" spans="1:16">
      <c r="A4" s="4" t="s">
        <v>252</v>
      </c>
      <c r="B4" s="4" t="s">
        <v>27</v>
      </c>
      <c r="C4" s="5" t="s">
        <v>253</v>
      </c>
      <c r="D4" s="4" t="s">
        <v>15</v>
      </c>
      <c r="E4" s="4" t="s">
        <v>126</v>
      </c>
      <c r="F4" s="5" t="s">
        <v>254</v>
      </c>
      <c r="G4" s="5" t="s">
        <v>255</v>
      </c>
      <c r="H4" s="5" t="s">
        <v>256</v>
      </c>
      <c r="I4" s="5" t="s">
        <v>257</v>
      </c>
      <c r="J4" s="6" t="s">
        <v>9</v>
      </c>
      <c r="K4" s="6"/>
      <c r="L4" s="6"/>
      <c r="M4" s="7"/>
      <c r="N4" s="7"/>
      <c r="O4" s="6"/>
      <c r="P4" s="6"/>
    </row>
    <row r="5" ht="127" customHeight="1" spans="1:16">
      <c r="A5" s="8" t="s">
        <v>258</v>
      </c>
      <c r="B5" s="8" t="s">
        <v>27</v>
      </c>
      <c r="C5" s="9" t="s">
        <v>259</v>
      </c>
      <c r="D5" s="8" t="s">
        <v>15</v>
      </c>
      <c r="E5" s="8" t="s">
        <v>126</v>
      </c>
      <c r="F5" s="9" t="s">
        <v>260</v>
      </c>
      <c r="G5" s="9" t="s">
        <v>261</v>
      </c>
      <c r="H5" s="9" t="s">
        <v>262</v>
      </c>
      <c r="I5" s="9" t="s">
        <v>263</v>
      </c>
      <c r="J5" s="6" t="s">
        <v>9</v>
      </c>
      <c r="K5" s="6"/>
      <c r="L5" s="6"/>
      <c r="M5" s="7"/>
      <c r="N5" s="7" t="s">
        <v>264</v>
      </c>
      <c r="O5" s="6"/>
      <c r="P5" s="6"/>
    </row>
    <row r="6" ht="127" customHeight="1" spans="1:16">
      <c r="A6" s="4" t="s">
        <v>265</v>
      </c>
      <c r="B6" s="4" t="s">
        <v>27</v>
      </c>
      <c r="C6" s="5" t="s">
        <v>266</v>
      </c>
      <c r="D6" s="4" t="s">
        <v>15</v>
      </c>
      <c r="E6" s="4" t="s">
        <v>126</v>
      </c>
      <c r="F6" s="5" t="s">
        <v>267</v>
      </c>
      <c r="G6" s="5" t="s">
        <v>268</v>
      </c>
      <c r="H6" s="5" t="s">
        <v>269</v>
      </c>
      <c r="I6" s="5" t="s">
        <v>270</v>
      </c>
      <c r="J6" s="6" t="s">
        <v>9</v>
      </c>
      <c r="K6" s="6"/>
      <c r="L6" s="6"/>
      <c r="M6" s="7"/>
      <c r="N6" s="7"/>
      <c r="O6" s="6"/>
      <c r="P6" s="6"/>
    </row>
    <row r="7" ht="127" customHeight="1" spans="1:16">
      <c r="A7" s="8" t="s">
        <v>271</v>
      </c>
      <c r="B7" s="8" t="s">
        <v>27</v>
      </c>
      <c r="C7" s="9" t="s">
        <v>272</v>
      </c>
      <c r="D7" s="8" t="s">
        <v>15</v>
      </c>
      <c r="E7" s="8" t="s">
        <v>126</v>
      </c>
      <c r="F7" s="9" t="s">
        <v>273</v>
      </c>
      <c r="G7" s="9" t="s">
        <v>274</v>
      </c>
      <c r="H7" s="9" t="s">
        <v>275</v>
      </c>
      <c r="I7" s="9" t="s">
        <v>276</v>
      </c>
      <c r="J7" s="6" t="s">
        <v>9</v>
      </c>
      <c r="K7" s="6"/>
      <c r="L7" s="6"/>
      <c r="M7" s="7"/>
      <c r="N7" s="7"/>
      <c r="O7" s="6"/>
      <c r="P7" s="6"/>
    </row>
    <row r="8" ht="127" customHeight="1" spans="1:16">
      <c r="A8" s="4" t="s">
        <v>277</v>
      </c>
      <c r="B8" s="4" t="s">
        <v>27</v>
      </c>
      <c r="C8" s="5" t="s">
        <v>278</v>
      </c>
      <c r="D8" s="4" t="s">
        <v>15</v>
      </c>
      <c r="E8" s="4" t="s">
        <v>126</v>
      </c>
      <c r="F8" s="5" t="s">
        <v>279</v>
      </c>
      <c r="G8" s="5" t="s">
        <v>280</v>
      </c>
      <c r="H8" s="5" t="s">
        <v>281</v>
      </c>
      <c r="I8" s="5" t="s">
        <v>282</v>
      </c>
      <c r="J8" s="6" t="s">
        <v>9</v>
      </c>
      <c r="K8" s="6"/>
      <c r="L8" s="6"/>
      <c r="M8" s="7"/>
      <c r="N8" s="7"/>
      <c r="O8" s="6"/>
      <c r="P8" s="6"/>
    </row>
  </sheetData>
  <mergeCells count="2">
    <mergeCell ref="A1:P1"/>
    <mergeCell ref="A2:P2"/>
  </mergeCells>
  <conditionalFormatting sqref="D4:D8">
    <cfRule type="expression" dxfId="0" priority="1">
      <formula>$D4="P0"</formula>
    </cfRule>
    <cfRule type="expression" dxfId="1" priority="2">
      <formula>$D4="P1"</formula>
    </cfRule>
  </conditionalFormatting>
  <conditionalFormatting sqref="J4:J8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8">
    <cfRule type="expression" dxfId="2" priority="7">
      <formula>$K4="是"</formula>
    </cfRule>
    <cfRule type="expression" dxfId="0" priority="8">
      <formula>$K4="否"</formula>
    </cfRule>
  </conditionalFormatting>
  <conditionalFormatting sqref="L4:L8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8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8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>
      <formula1>"P0,P1,P2,P3"</formula1>
    </dataValidation>
    <dataValidation type="list" allowBlank="1" errorTitle="输入无效" error="请选择下拉列表中的值" promptTitle="可选值" prompt="请从列表中选择" sqref="E4:E8">
      <formula1>"功能,流程,校验,权限,安全,异常"</formula1>
    </dataValidation>
    <dataValidation type="list" allowBlank="1" errorTitle="输入无效" error="请选择下拉列表中的值" promptTitle="可选值" prompt="请从列表中选择" sqref="J4:J8">
      <formula1>"未执行,通过,失败,阻塞,不适用"</formula1>
    </dataValidation>
    <dataValidation type="list" allowBlank="1" errorTitle="输入无效" error="请选择下拉列表中的值" promptTitle="可选值" prompt="请从列表中选择" sqref="K4:K8">
      <formula1>"是,否"</formula1>
    </dataValidation>
    <dataValidation type="list" allowBlank="1" errorTitle="输入无效" error="请选择下拉列表中的值" promptTitle="可选值" prompt="请从列表中选择" sqref="L4:L8">
      <formula1>"阻塞,高,中,低,轻微"</formula1>
    </dataValidation>
    <dataValidation type="list" allowBlank="1" errorTitle="输入无效" error="请选择下拉列表中的值" promptTitle="可选值" prompt="请从列表中选择" sqref="O4:O8">
      <formula1>"已完成,待讨论,暂不修复"</formula1>
    </dataValidation>
    <dataValidation type="list" allowBlank="1" errorTitle="输入无效" error="请选择下拉列表中的值" promptTitle="可选值" prompt="请从列表中选择" sqref="P4:P8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"/>
  <sheetViews>
    <sheetView showGridLines="0" workbookViewId="0">
      <pane xSplit="5" ySplit="3" topLeftCell="F4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3.5" outlineLevelRow="5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</row>
    <row r="4" ht="127" customHeight="1" spans="1:16">
      <c r="A4" s="4" t="s">
        <v>284</v>
      </c>
      <c r="B4" s="4" t="s">
        <v>28</v>
      </c>
      <c r="C4" s="5" t="s">
        <v>285</v>
      </c>
      <c r="D4" s="4" t="s">
        <v>15</v>
      </c>
      <c r="E4" s="4" t="s">
        <v>61</v>
      </c>
      <c r="F4" s="5" t="s">
        <v>286</v>
      </c>
      <c r="G4" s="5" t="s">
        <v>287</v>
      </c>
      <c r="H4" s="5" t="s">
        <v>288</v>
      </c>
      <c r="I4" s="5" t="s">
        <v>289</v>
      </c>
      <c r="J4" s="6" t="s">
        <v>9</v>
      </c>
      <c r="K4" s="6"/>
      <c r="L4" s="6"/>
      <c r="M4" s="7"/>
      <c r="N4" s="7"/>
      <c r="O4" s="6"/>
      <c r="P4" s="6"/>
    </row>
    <row r="5" ht="127" customHeight="1" spans="1:16">
      <c r="A5" s="8" t="s">
        <v>290</v>
      </c>
      <c r="B5" s="8" t="s">
        <v>28</v>
      </c>
      <c r="C5" s="9" t="s">
        <v>291</v>
      </c>
      <c r="D5" s="8" t="s">
        <v>15</v>
      </c>
      <c r="E5" s="8" t="s">
        <v>70</v>
      </c>
      <c r="F5" s="9" t="s">
        <v>292</v>
      </c>
      <c r="G5" s="9" t="s">
        <v>293</v>
      </c>
      <c r="H5" s="9" t="s">
        <v>294</v>
      </c>
      <c r="I5" s="9" t="s">
        <v>295</v>
      </c>
      <c r="J5" s="6" t="s">
        <v>9</v>
      </c>
      <c r="K5" s="6"/>
      <c r="L5" s="6"/>
      <c r="M5" s="7"/>
      <c r="N5" s="7"/>
      <c r="O5" s="6"/>
      <c r="P5" s="6"/>
    </row>
    <row r="6" ht="127" customHeight="1" spans="1:16">
      <c r="A6" s="4" t="s">
        <v>296</v>
      </c>
      <c r="B6" s="4" t="s">
        <v>28</v>
      </c>
      <c r="C6" s="5" t="s">
        <v>297</v>
      </c>
      <c r="D6" s="4" t="s">
        <v>15</v>
      </c>
      <c r="E6" s="4" t="s">
        <v>70</v>
      </c>
      <c r="F6" s="5" t="s">
        <v>298</v>
      </c>
      <c r="G6" s="5" t="s">
        <v>299</v>
      </c>
      <c r="H6" s="5" t="s">
        <v>300</v>
      </c>
      <c r="I6" s="5" t="s">
        <v>301</v>
      </c>
      <c r="J6" s="6" t="s">
        <v>9</v>
      </c>
      <c r="K6" s="6"/>
      <c r="L6" s="6"/>
      <c r="M6" s="7"/>
      <c r="N6" s="7" t="s">
        <v>302</v>
      </c>
      <c r="O6" s="6"/>
      <c r="P6" s="6"/>
    </row>
  </sheetData>
  <mergeCells count="2">
    <mergeCell ref="A1:P1"/>
    <mergeCell ref="A2:P2"/>
  </mergeCells>
  <conditionalFormatting sqref="D4:D6">
    <cfRule type="expression" dxfId="0" priority="1">
      <formula>$D4="P0"</formula>
    </cfRule>
    <cfRule type="expression" dxfId="1" priority="2">
      <formula>$D4="P1"</formula>
    </cfRule>
  </conditionalFormatting>
  <conditionalFormatting sqref="J4:J6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6">
    <cfRule type="expression" dxfId="2" priority="7">
      <formula>$K4="是"</formula>
    </cfRule>
    <cfRule type="expression" dxfId="0" priority="8">
      <formula>$K4="否"</formula>
    </cfRule>
  </conditionalFormatting>
  <conditionalFormatting sqref="L4:L6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6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6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6">
      <formula1>"P0,P1,P2,P3"</formula1>
    </dataValidation>
    <dataValidation type="list" allowBlank="1" errorTitle="输入无效" error="请选择下拉列表中的值" promptTitle="可选值" prompt="请从列表中选择" sqref="E4:E6">
      <formula1>"功能,流程,校验,权限,安全,异常"</formula1>
    </dataValidation>
    <dataValidation type="list" allowBlank="1" errorTitle="输入无效" error="请选择下拉列表中的值" promptTitle="可选值" prompt="请从列表中选择" sqref="J4:J6">
      <formula1>"未执行,通过,失败,阻塞,不适用"</formula1>
    </dataValidation>
    <dataValidation type="list" allowBlank="1" errorTitle="输入无效" error="请选择下拉列表中的值" promptTitle="可选值" prompt="请从列表中选择" sqref="K4:K6">
      <formula1>"是,否"</formula1>
    </dataValidation>
    <dataValidation type="list" allowBlank="1" errorTitle="输入无效" error="请选择下拉列表中的值" promptTitle="可选值" prompt="请从列表中选择" sqref="L4:L6">
      <formula1>"阻塞,高,中,低,轻微"</formula1>
    </dataValidation>
    <dataValidation type="list" allowBlank="1" errorTitle="输入无效" error="请选择下拉列表中的值" promptTitle="可选值" prompt="请从列表中选择" sqref="O4:O6">
      <formula1>"已完成,待讨论,暂不修复"</formula1>
    </dataValidation>
    <dataValidation type="list" allowBlank="1" errorTitle="输入无效" error="请选择下拉列表中的值" promptTitle="可选值" prompt="请从列表中选择" sqref="P4:P6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测试说明</vt:lpstr>
      <vt:lpstr>入口与权限</vt:lpstr>
      <vt:lpstr>错题形成与累计</vt:lpstr>
      <vt:lpstr>筛选与查询</vt:lpstr>
      <vt:lpstr>卡片与排序</vt:lpstr>
      <vt:lpstr>分页与状态恢复</vt:lpstr>
      <vt:lpstr>单题解析</vt:lpstr>
      <vt:lpstr>异常容错</vt:lpstr>
      <vt:lpstr>后台内容变化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大伟</cp:lastModifiedBy>
  <dcterms:created xsi:type="dcterms:W3CDTF">2026-08-09T18:12:00Z</dcterms:created>
  <dcterms:modified xsi:type="dcterms:W3CDTF">2026-08-11T13:48:30Z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4DC7F14127E54AEDBEBFD270A4201047_13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