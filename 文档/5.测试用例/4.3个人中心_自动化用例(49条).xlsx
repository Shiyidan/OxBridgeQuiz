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访问与档案" sheetId="2" state="visible" r:id="rId2"/>
    <sheet xmlns:r="http://schemas.openxmlformats.org/officeDocument/2006/relationships" name="会员与学习" sheetId="3" state="visible" r:id="rId3"/>
    <sheet xmlns:r="http://schemas.openxmlformats.org/officeDocument/2006/relationships" name="邮箱修改" sheetId="4" state="visible" r:id="rId4"/>
    <sheet xmlns:r="http://schemas.openxmlformats.org/officeDocument/2006/relationships" name="密码与会话" sheetId="5" state="visible" r:id="rId5"/>
    <sheet xmlns:r="http://schemas.openxmlformats.org/officeDocument/2006/relationships" name="目标偏好" sheetId="6" state="visible" r:id="rId6"/>
    <sheet xmlns:r="http://schemas.openxmlformats.org/officeDocument/2006/relationships" name="订阅汇总" sheetId="7" state="visible" r:id="rId7"/>
    <sheet xmlns:r="http://schemas.openxmlformats.org/officeDocument/2006/relationships" name="支付记录" sheetId="8" state="visible" r:id="rId8"/>
    <sheet xmlns:r="http://schemas.openxmlformats.org/officeDocument/2006/relationships" name="局部失败与一致性" sheetId="9" state="visible" r:id="rId9"/>
  </sheets>
  <definedNames>
    <definedName name="_xlnm._FilterDatabase" localSheetId="1" hidden="1">'访问与档案'!$A$3:$R$7</definedName>
    <definedName name="_xlnm.Print_Titles" localSheetId="1">'访问与档案'!$1:$3</definedName>
    <definedName name="_xlnm._FilterDatabase" localSheetId="2" hidden="1">'会员与学习'!$A$3:$R$15</definedName>
    <definedName name="_xlnm.Print_Titles" localSheetId="2">'会员与学习'!$1:$3</definedName>
    <definedName name="_xlnm._FilterDatabase" localSheetId="3" hidden="1">'邮箱修改'!$A$3:$R$10</definedName>
    <definedName name="_xlnm.Print_Titles" localSheetId="3">'邮箱修改'!$1:$3</definedName>
    <definedName name="_xlnm._FilterDatabase" localSheetId="4" hidden="1">'密码与会话'!$A$3:$R$9</definedName>
    <definedName name="_xlnm.Print_Titles" localSheetId="4">'密码与会话'!$1:$3</definedName>
    <definedName name="_xlnm._FilterDatabase" localSheetId="5" hidden="1">'目标偏好'!$A$3:$R$9</definedName>
    <definedName name="_xlnm.Print_Titles" localSheetId="5">'目标偏好'!$1:$3</definedName>
    <definedName name="_xlnm._FilterDatabase" localSheetId="6" hidden="1">'订阅汇总'!$A$3:$R$7</definedName>
    <definedName name="_xlnm.Print_Titles" localSheetId="6">'订阅汇总'!$1:$3</definedName>
    <definedName name="_xlnm._FilterDatabase" localSheetId="7" hidden="1">'支付记录'!$A$3:$R$7</definedName>
    <definedName name="_xlnm.Print_Titles" localSheetId="7">'支付记录'!$1:$3</definedName>
    <definedName name="_xlnm._FilterDatabase" localSheetId="8" hidden="1">'局部失败与一致性'!$A$3:$R$9</definedName>
    <definedName name="_xlnm.Print_Titles" localSheetId="8">'局部失败与一致性'!$1:$3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0F4C5C"/>
      <sz val="10"/>
    </font>
    <font>
      <name val="Microsoft YaHei"/>
      <b val="1"/>
      <color rgb="00FFFFFF"/>
      <sz val="10"/>
    </font>
    <font>
      <name val="Microsoft YaHei"/>
      <color rgb="001F2937"/>
      <sz val="10"/>
    </font>
    <font>
      <name val="Microsoft YaHei"/>
      <b val="1"/>
      <color rgb="00FFFFFF"/>
      <sz val="12"/>
    </font>
    <font>
      <name val="Microsoft YaHei"/>
      <b val="1"/>
      <color rgb="001F2937"/>
      <sz val="10"/>
    </font>
    <font>
      <name val="Microsoft YaHei"/>
      <b val="1"/>
      <color rgb="000F4C5C"/>
      <sz val="10"/>
    </font>
  </fonts>
  <fills count="7">
    <fill>
      <patternFill/>
    </fill>
    <fill>
      <patternFill patternType="gray125"/>
    </fill>
    <fill>
      <patternFill patternType="solid">
        <fgColor rgb="000F4C5C"/>
      </patternFill>
    </fill>
    <fill>
      <patternFill patternType="solid">
        <fgColor rgb="00D9EEF0"/>
      </patternFill>
    </fill>
    <fill>
      <patternFill patternType="solid">
        <fgColor rgb="0016808A"/>
      </patternFill>
    </fill>
    <fill>
      <patternFill patternType="solid">
        <fgColor rgb="00F5F8FB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bottom style="thin">
        <color rgb="00D5DC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  <xf numFmtId="0" fontId="5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0" pivotButton="0" quotePrefix="0" xfId="0"/>
    <xf numFmtId="0" fontId="4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3">
    <dxf>
      <font>
        <b val="1"/>
        <color rgb="009C0006"/>
      </font>
      <fill>
        <patternFill patternType="solid">
          <fgColor rgb="00FFEB9C"/>
        </patternFill>
      </fill>
    </dxf>
    <dxf>
      <font>
        <b val="1"/>
        <color rgb="001F4E78"/>
      </font>
      <fill>
        <patternFill patternType="solid">
          <fgColor rgb="00DDEBF7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DEBF7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_a_pro" displayName="tbl_a_pro" ref="A3:R7" headerRowCount="1">
  <autoFilter ref="A3:R7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_a_mem" displayName="tbl_a_mem" ref="A3:R15" headerRowCount="1">
  <autoFilter ref="A3:R11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_a_eml" displayName="tbl_a_eml" ref="A3:R10" headerRowCount="1">
  <autoFilter ref="A3:R10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_a_pwd" displayName="tbl_a_pwd" ref="A3:R9" headerRowCount="1">
  <autoFilter ref="A3:R9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_a_gol" displayName="tbl_a_gol" ref="A3:R9" headerRowCount="1">
  <autoFilter ref="A3:R9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bl_a_sub" displayName="tbl_a_sub" ref="A3:R7" headerRowCount="1">
  <autoFilter ref="A3:R7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bl_a_pay" displayName="tbl_a_pay" ref="A3:R7" headerRowCount="1">
  <autoFilter ref="A3:R7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bl_a_rec" displayName="tbl_a_rec" ref="A3:R9" headerRowCount="1">
  <autoFilter ref="A3:R9"/>
  <tableColumns count="18">
    <tableColumn id="1" name="用例编号"/>
    <tableColumn id="2" name="功能模块"/>
    <tableColumn id="3" name="用例标题"/>
    <tableColumn id="4" name="优先级"/>
    <tableColumn id="5" name="自动化层级"/>
    <tableColumn id="6" name="前置数据/Mock"/>
    <tableColumn id="7" name="参数化测试数据"/>
    <tableColumn id="8" name="自动化步骤"/>
    <tableColumn id="9" name="断言"/>
    <tableColumn id="10" name="建议脚本路径"/>
    <tableColumn id="11" name="脚本状态"/>
    <tableColumn id="12" name="执行状态"/>
    <tableColumn id="13" name="是否通过"/>
    <tableColumn id="14" name="缺陷等级"/>
    <tableColumn id="15" name="实际结果"/>
    <tableColumn id="16" name="备注"/>
    <tableColumn id="17" name="修复情况"/>
    <tableColumn id="18" name="回归情况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I25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38" customHeight="1">
      <c r="A1" s="1" t="inlineStr">
        <is>
          <t>4.3 个人中心自动化测试用例</t>
        </is>
      </c>
    </row>
    <row r="2">
      <c r="A2" s="2" t="inlineStr">
        <is>
          <t>参数化覆盖规则、接口、安全、时序、状态迁移和故障注入；重点断言正式交卷后的统计增量与幂等性。</t>
        </is>
      </c>
    </row>
    <row r="4">
      <c r="A4" s="3" t="inlineStr">
        <is>
          <t>文档版本</t>
        </is>
      </c>
      <c r="B4" s="4" t="inlineStr">
        <is>
          <t>V1.1</t>
        </is>
      </c>
      <c r="D4" s="3" t="inlineStr">
        <is>
          <t>生成日期</t>
        </is>
      </c>
      <c r="E4" s="5" t="n">
        <v>46243</v>
      </c>
      <c r="G4" s="3" t="inlineStr">
        <is>
          <t>用例总数</t>
        </is>
      </c>
      <c r="H4" s="4">
        <f>SUM(B10:B17)</f>
        <v/>
      </c>
    </row>
    <row r="5">
      <c r="A5" s="3" t="inlineStr">
        <is>
          <t>需求来源</t>
        </is>
      </c>
      <c r="B5" s="4" t="inlineStr">
        <is>
          <t>文档/4-需求文档/4.3 个人中心.md</t>
        </is>
      </c>
      <c r="G5" s="3" t="inlineStr">
        <is>
          <t>默认状态</t>
        </is>
      </c>
      <c r="H5" s="4" t="inlineStr">
        <is>
          <t>待实现 / 未执行</t>
        </is>
      </c>
    </row>
    <row r="6">
      <c r="A6" s="3" t="inlineStr">
        <is>
          <t>关联规则</t>
        </is>
      </c>
      <c r="B6" s="4" t="inlineStr">
        <is>
          <t>4.2会员权益、4.4登录注册、4.8诊断测试、4.9支付、4.12练习册；专项规则优先。</t>
        </is>
      </c>
    </row>
    <row r="8">
      <c r="A8" s="6" t="inlineStr">
        <is>
          <t>模块覆盖统计</t>
        </is>
      </c>
    </row>
    <row r="9">
      <c r="A9" s="7" t="inlineStr">
        <is>
          <t>模块</t>
        </is>
      </c>
      <c r="B9" s="7" t="inlineStr">
        <is>
          <t>用例数</t>
        </is>
      </c>
      <c r="C9" s="7" t="inlineStr">
        <is>
          <t>P0</t>
        </is>
      </c>
      <c r="D9" s="7" t="inlineStr">
        <is>
          <t>P1</t>
        </is>
      </c>
      <c r="E9" s="7" t="inlineStr">
        <is>
          <t>API</t>
        </is>
      </c>
      <c r="F9" s="7" t="inlineStr">
        <is>
          <t>UI</t>
        </is>
      </c>
      <c r="G9" s="7" t="inlineStr">
        <is>
          <t>混合</t>
        </is>
      </c>
      <c r="H9" s="7" t="inlineStr">
        <is>
          <t>待实现</t>
        </is>
      </c>
      <c r="I9" s="7" t="inlineStr">
        <is>
          <t>已实现</t>
        </is>
      </c>
    </row>
    <row r="10">
      <c r="A10" s="8" t="inlineStr">
        <is>
          <t>访问与档案</t>
        </is>
      </c>
      <c r="B10" s="8">
        <f>COUNTA('访问与档案'!$A$4:$A$7)</f>
        <v/>
      </c>
      <c r="C10" s="8">
        <f>COUNTIF('访问与档案'!$D$4:$D$7,"P0")</f>
        <v/>
      </c>
      <c r="D10" s="8">
        <f>COUNTIF('访问与档案'!$D$4:$D$7,"P1")</f>
        <v/>
      </c>
      <c r="E10" s="8">
        <f>COUNTIF('访问与档案'!$E$4:$E$7,"API")</f>
        <v/>
      </c>
      <c r="F10" s="8">
        <f>COUNTIF('访问与档案'!$E$4:$E$7,"UI")</f>
        <v/>
      </c>
      <c r="G10" s="8">
        <f>COUNTIF('访问与档案'!$E$4:$E$7,"混合")</f>
        <v/>
      </c>
      <c r="H10" s="8">
        <f>COUNTIF('访问与档案'!$K$4:$K$7,"待实现")</f>
        <v/>
      </c>
      <c r="I10" s="8">
        <f>COUNTIF('访问与档案'!$K$4:$K$7,"已实现")</f>
        <v/>
      </c>
    </row>
    <row r="11">
      <c r="A11" s="8" t="inlineStr">
        <is>
          <t>会员与学习</t>
        </is>
      </c>
      <c r="B11" s="8">
        <f>COUNTA('会员与学习'!$A$4:$A$15)</f>
        <v/>
      </c>
      <c r="C11" s="8">
        <f>COUNTIF('会员与学习'!$D$4:$D$15,"P0")</f>
        <v/>
      </c>
      <c r="D11" s="8">
        <f>COUNTIF('会员与学习'!$D$4:$D$15,"P1")</f>
        <v/>
      </c>
      <c r="E11" s="8">
        <f>COUNTIF('会员与学习'!$E$4:$E$15,"API")</f>
        <v/>
      </c>
      <c r="F11" s="8">
        <f>COUNTIF('会员与学习'!$E$4:$E$15,"UI")</f>
        <v/>
      </c>
      <c r="G11" s="8">
        <f>COUNTIF('会员与学习'!$E$4:$E$15,"混合")</f>
        <v/>
      </c>
      <c r="H11" s="8">
        <f>COUNTIF('会员与学习'!$K$4:$K$15,"待实现")</f>
        <v/>
      </c>
      <c r="I11" s="8">
        <f>COUNTIF('会员与学习'!$K$4:$K$15,"已实现")</f>
        <v/>
      </c>
    </row>
    <row r="12">
      <c r="A12" s="8" t="inlineStr">
        <is>
          <t>邮箱修改</t>
        </is>
      </c>
      <c r="B12" s="8">
        <f>COUNTA('邮箱修改'!$A$4:$A$10)</f>
        <v/>
      </c>
      <c r="C12" s="8">
        <f>COUNTIF('邮箱修改'!$D$4:$D$10,"P0")</f>
        <v/>
      </c>
      <c r="D12" s="8">
        <f>COUNTIF('邮箱修改'!$D$4:$D$10,"P1")</f>
        <v/>
      </c>
      <c r="E12" s="8">
        <f>COUNTIF('邮箱修改'!$E$4:$E$10,"API")</f>
        <v/>
      </c>
      <c r="F12" s="8">
        <f>COUNTIF('邮箱修改'!$E$4:$E$10,"UI")</f>
        <v/>
      </c>
      <c r="G12" s="8">
        <f>COUNTIF('邮箱修改'!$E$4:$E$10,"混合")</f>
        <v/>
      </c>
      <c r="H12" s="8">
        <f>COUNTIF('邮箱修改'!$K$4:$K$10,"待实现")</f>
        <v/>
      </c>
      <c r="I12" s="8">
        <f>COUNTIF('邮箱修改'!$K$4:$K$10,"已实现")</f>
        <v/>
      </c>
    </row>
    <row r="13">
      <c r="A13" s="8" t="inlineStr">
        <is>
          <t>密码与会话</t>
        </is>
      </c>
      <c r="B13" s="8">
        <f>COUNTA('密码与会话'!$A$4:$A$9)</f>
        <v/>
      </c>
      <c r="C13" s="8">
        <f>COUNTIF('密码与会话'!$D$4:$D$9,"P0")</f>
        <v/>
      </c>
      <c r="D13" s="8">
        <f>COUNTIF('密码与会话'!$D$4:$D$9,"P1")</f>
        <v/>
      </c>
      <c r="E13" s="8">
        <f>COUNTIF('密码与会话'!$E$4:$E$9,"API")</f>
        <v/>
      </c>
      <c r="F13" s="8">
        <f>COUNTIF('密码与会话'!$E$4:$E$9,"UI")</f>
        <v/>
      </c>
      <c r="G13" s="8">
        <f>COUNTIF('密码与会话'!$E$4:$E$9,"混合")</f>
        <v/>
      </c>
      <c r="H13" s="8">
        <f>COUNTIF('密码与会话'!$K$4:$K$9,"待实现")</f>
        <v/>
      </c>
      <c r="I13" s="8">
        <f>COUNTIF('密码与会话'!$K$4:$K$9,"已实现")</f>
        <v/>
      </c>
    </row>
    <row r="14">
      <c r="A14" s="8" t="inlineStr">
        <is>
          <t>目标偏好</t>
        </is>
      </c>
      <c r="B14" s="8">
        <f>COUNTA('目标偏好'!$A$4:$A$9)</f>
        <v/>
      </c>
      <c r="C14" s="8">
        <f>COUNTIF('目标偏好'!$D$4:$D$9,"P0")</f>
        <v/>
      </c>
      <c r="D14" s="8">
        <f>COUNTIF('目标偏好'!$D$4:$D$9,"P1")</f>
        <v/>
      </c>
      <c r="E14" s="8">
        <f>COUNTIF('目标偏好'!$E$4:$E$9,"API")</f>
        <v/>
      </c>
      <c r="F14" s="8">
        <f>COUNTIF('目标偏好'!$E$4:$E$9,"UI")</f>
        <v/>
      </c>
      <c r="G14" s="8">
        <f>COUNTIF('目标偏好'!$E$4:$E$9,"混合")</f>
        <v/>
      </c>
      <c r="H14" s="8">
        <f>COUNTIF('目标偏好'!$K$4:$K$9,"待实现")</f>
        <v/>
      </c>
      <c r="I14" s="8">
        <f>COUNTIF('目标偏好'!$K$4:$K$9,"已实现")</f>
        <v/>
      </c>
    </row>
    <row r="15">
      <c r="A15" s="8" t="inlineStr">
        <is>
          <t>订阅汇总</t>
        </is>
      </c>
      <c r="B15" s="8">
        <f>COUNTA('订阅汇总'!$A$4:$A$7)</f>
        <v/>
      </c>
      <c r="C15" s="8">
        <f>COUNTIF('订阅汇总'!$D$4:$D$7,"P0")</f>
        <v/>
      </c>
      <c r="D15" s="8">
        <f>COUNTIF('订阅汇总'!$D$4:$D$7,"P1")</f>
        <v/>
      </c>
      <c r="E15" s="8">
        <f>COUNTIF('订阅汇总'!$E$4:$E$7,"API")</f>
        <v/>
      </c>
      <c r="F15" s="8">
        <f>COUNTIF('订阅汇总'!$E$4:$E$7,"UI")</f>
        <v/>
      </c>
      <c r="G15" s="8">
        <f>COUNTIF('订阅汇总'!$E$4:$E$7,"混合")</f>
        <v/>
      </c>
      <c r="H15" s="8">
        <f>COUNTIF('订阅汇总'!$K$4:$K$7,"待实现")</f>
        <v/>
      </c>
      <c r="I15" s="8">
        <f>COUNTIF('订阅汇总'!$K$4:$K$7,"已实现")</f>
        <v/>
      </c>
    </row>
    <row r="16">
      <c r="A16" s="8" t="inlineStr">
        <is>
          <t>支付记录</t>
        </is>
      </c>
      <c r="B16" s="8">
        <f>COUNTA('支付记录'!$A$4:$A$7)</f>
        <v/>
      </c>
      <c r="C16" s="8">
        <f>COUNTIF('支付记录'!$D$4:$D$7,"P0")</f>
        <v/>
      </c>
      <c r="D16" s="8">
        <f>COUNTIF('支付记录'!$D$4:$D$7,"P1")</f>
        <v/>
      </c>
      <c r="E16" s="8">
        <f>COUNTIF('支付记录'!$E$4:$E$7,"API")</f>
        <v/>
      </c>
      <c r="F16" s="8">
        <f>COUNTIF('支付记录'!$E$4:$E$7,"UI")</f>
        <v/>
      </c>
      <c r="G16" s="8">
        <f>COUNTIF('支付记录'!$E$4:$E$7,"混合")</f>
        <v/>
      </c>
      <c r="H16" s="8">
        <f>COUNTIF('支付记录'!$K$4:$K$7,"待实现")</f>
        <v/>
      </c>
      <c r="I16" s="8">
        <f>COUNTIF('支付记录'!$K$4:$K$7,"已实现")</f>
        <v/>
      </c>
    </row>
    <row r="17">
      <c r="A17" s="8" t="inlineStr">
        <is>
          <t>局部失败与一致性</t>
        </is>
      </c>
      <c r="B17" s="8">
        <f>COUNTA('局部失败与一致性'!$A$4:$A$9)</f>
        <v/>
      </c>
      <c r="C17" s="8">
        <f>COUNTIF('局部失败与一致性'!$D$4:$D$9,"P0")</f>
        <v/>
      </c>
      <c r="D17" s="8">
        <f>COUNTIF('局部失败与一致性'!$D$4:$D$9,"P1")</f>
        <v/>
      </c>
      <c r="E17" s="8">
        <f>COUNTIF('局部失败与一致性'!$E$4:$E$9,"API")</f>
        <v/>
      </c>
      <c r="F17" s="8">
        <f>COUNTIF('局部失败与一致性'!$E$4:$E$9,"UI")</f>
        <v/>
      </c>
      <c r="G17" s="8">
        <f>COUNTIF('局部失败与一致性'!$E$4:$E$9,"混合")</f>
        <v/>
      </c>
      <c r="H17" s="8">
        <f>COUNTIF('局部失败与一致性'!$K$4:$K$9,"待实现")</f>
        <v/>
      </c>
      <c r="I17" s="8">
        <f>COUNTIF('局部失败与一致性'!$K$4:$K$9,"已实现")</f>
        <v/>
      </c>
    </row>
    <row r="18">
      <c r="A18" s="9" t="inlineStr">
        <is>
          <t>合计</t>
        </is>
      </c>
      <c r="B18" s="9">
        <f>SUM(B10:B17)</f>
        <v/>
      </c>
      <c r="C18" s="9">
        <f>SUM(C10:C17)</f>
        <v/>
      </c>
      <c r="D18" s="9">
        <f>SUM(D10:D17)</f>
        <v/>
      </c>
      <c r="E18" s="9">
        <f>SUM(E10:E17)</f>
        <v/>
      </c>
      <c r="F18" s="9">
        <f>SUM(F10:F17)</f>
        <v/>
      </c>
      <c r="G18" s="9">
        <f>SUM(G10:G17)</f>
        <v/>
      </c>
      <c r="H18" s="9">
        <f>SUM(H10:H17)</f>
        <v/>
      </c>
      <c r="I18" s="9">
        <f>SUM(I10:I17)</f>
        <v/>
      </c>
    </row>
    <row r="20">
      <c r="A20" s="6" t="inlineStr">
        <is>
          <t>使用说明</t>
        </is>
      </c>
    </row>
    <row r="21" ht="30" customHeight="1">
      <c r="A21" s="10" t="inlineStr">
        <is>
          <t>自动化层级</t>
        </is>
      </c>
      <c r="B21" s="11" t="inlineStr">
        <is>
          <t>API验证规则与状态，UI验证交互，混合验证前后端一致。</t>
        </is>
      </c>
    </row>
    <row r="22" ht="30" customHeight="1">
      <c r="A22" s="10" t="inlineStr">
        <is>
          <t>参数化数据</t>
        </is>
      </c>
      <c r="B22" s="11" t="inlineStr">
        <is>
          <t>同一规则的数据值保存在一行，落地脚本时用test.each或等价机制展开。</t>
        </is>
      </c>
    </row>
    <row r="23" ht="30" customHeight="1">
      <c r="A23" s="10" t="inlineStr">
        <is>
          <t>建议路径</t>
        </is>
      </c>
      <c r="B23" s="11" t="inlineStr">
        <is>
          <t>仅为目标规划，不表示仓库已存在测试框架或脚本。</t>
        </is>
      </c>
    </row>
    <row r="24" ht="30" customHeight="1">
      <c r="A24" s="10" t="inlineStr">
        <is>
          <t>Mock与假时钟</t>
        </is>
      </c>
      <c r="B24" s="11" t="inlineStr">
        <is>
          <t>限流、过期、网络失败、交卷状态迁移、响应丢失和并发使用可控数据、假时钟与故障注入。</t>
        </is>
      </c>
    </row>
    <row r="25" ht="30" customHeight="1">
      <c r="A25" s="10" t="inlineStr">
        <is>
          <t>脚本状态</t>
        </is>
      </c>
      <c r="B25" s="11" t="inlineStr">
        <is>
          <t>默认待实现；实现并执行后再填写执行、缺陷、修复和回归结果。</t>
        </is>
      </c>
    </row>
  </sheetData>
  <mergeCells count="15">
    <mergeCell ref="E4:F4"/>
    <mergeCell ref="B21:I21"/>
    <mergeCell ref="A2:I2"/>
    <mergeCell ref="B25:I25"/>
    <mergeCell ref="B6:I6"/>
    <mergeCell ref="B24:I24"/>
    <mergeCell ref="A20:I20"/>
    <mergeCell ref="B5:F5"/>
    <mergeCell ref="A1:I1"/>
    <mergeCell ref="H5:I5"/>
    <mergeCell ref="A8:I8"/>
    <mergeCell ref="B22:I22"/>
    <mergeCell ref="H4:I4"/>
    <mergeCell ref="B23:I23"/>
    <mergeCell ref="B4:C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7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4.3 个人中心自动化测试用例｜访问与档案</t>
        </is>
      </c>
    </row>
    <row r="2" ht="26" customHeight="1">
      <c r="A2" s="12" t="inlineStr">
        <is>
          <t>来源：文档/4-需求文档/4.3 个人中心.md　｜　范围：参数化规则、接口、安全、并发与故障注入　｜　访问与档案：4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76" customHeight="1">
      <c r="A4" s="13" t="inlineStr">
        <is>
          <t>AUT-PC-PRO-001</t>
        </is>
      </c>
      <c r="B4" s="14" t="inlineStr">
        <is>
          <t>访问与档案</t>
        </is>
      </c>
      <c r="C4" s="14" t="inlineStr">
        <is>
          <t>个人中心认证与本人数据权限矩阵</t>
        </is>
      </c>
      <c r="D4" s="13" t="inlineStr">
        <is>
          <t>P0</t>
        </is>
      </c>
      <c r="E4" s="13" t="inlineStr">
        <is>
          <t>混合</t>
        </is>
      </c>
      <c r="F4" s="14" t="inlineStr">
        <is>
          <t>准备访客、学生、管理员和其他用户数据</t>
        </is>
      </c>
      <c r="G4" s="14" t="inlineStr">
        <is>
          <t>未登录；学生本人；管理员本人；构造otherUserId</t>
        </is>
      </c>
      <c r="H4" s="14" t="inlineStr">
        <is>
          <t>1. 按前置数据/Mock创建独立测试数据，并读取操作前基线
2. 将参数化数据逐组执行：参数化访问页面与资料接口
3. 收集接口响应、页面展示及持久化后的个人中心数据
4. 对照断言逐项校验，每组结束后还原Mock并清理测试数据</t>
        </is>
      </c>
      <c r="I4" s="14" t="inlineStr">
        <is>
          <t>访客被认证拦截；学生和管理员只能读取本人；构造他人ID被服务端拒绝；响应不泄露其他用户资料</t>
        </is>
      </c>
      <c r="J4" s="13" t="inlineStr">
        <is>
          <t>api/tests/profile/profile-access.spec.ts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76" customHeight="1">
      <c r="A5" s="13" t="inlineStr">
        <is>
          <t>AUT-PC-PRO-002</t>
        </is>
      </c>
      <c r="B5" s="14" t="inlineStr">
        <is>
          <t>访问与档案</t>
        </is>
      </c>
      <c r="C5" s="14" t="inlineStr">
        <is>
          <t>头像占位与身份标签派生规则</t>
        </is>
      </c>
      <c r="D5" s="13" t="inlineStr">
        <is>
          <t>P1</t>
        </is>
      </c>
      <c r="E5" s="13" t="inlineStr">
        <is>
          <t>UI</t>
        </is>
      </c>
      <c r="F5" s="14" t="inlineStr">
        <is>
          <t>准备无头像、免费学生、多个有效会员和管理员</t>
        </is>
      </c>
      <c r="G5" s="14" t="inlineStr">
        <is>
          <t>用户名首字；免费版；ESAT/TMUA标签；管理员</t>
        </is>
      </c>
      <c r="H5" s="14" t="inlineStr">
        <is>
          <t>1. 按前置数据/Mock创建独立测试数据，并读取操作前基线
2. 将参数化数据逐组执行：参数化加载档案卡
3. 收集接口响应、页面展示及持久化后的个人中心数据
4. 对照断言逐项校验，每组结束后还原Mock并清理测试数据</t>
        </is>
      </c>
      <c r="I5" s="14" t="inlineStr">
        <is>
          <t>无头像使用首字；有效标签按考试显示；无有效会员学生显示免费版；管理员绝不显示免费用户</t>
        </is>
      </c>
      <c r="J5" s="13" t="inlineStr">
        <is>
          <t>quiz-web/e2e/profile/profile-card.spec.ts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76" customHeight="1">
      <c r="A6" s="13" t="inlineStr">
        <is>
          <t>AUT-PC-PRO-003</t>
        </is>
      </c>
      <c r="B6" s="14" t="inlineStr">
        <is>
          <t>访问与档案</t>
        </is>
      </c>
      <c r="C6" s="14" t="inlineStr">
        <is>
          <t>网络地址与地区展示参数集</t>
        </is>
      </c>
      <c r="D6" s="13" t="inlineStr">
        <is>
          <t>P1</t>
        </is>
      </c>
      <c r="E6" s="13" t="inlineStr">
        <is>
          <t>混合</t>
        </is>
      </c>
      <c r="F6" s="14" t="inlineStr">
        <is>
          <t>Mock当前会话网络解析结果</t>
        </is>
      </c>
      <c r="G6" s="14" t="inlineStr">
        <is>
          <t>127.0.0.1；IPv4；IPv6；无地区；解析失败</t>
        </is>
      </c>
      <c r="H6" s="14" t="inlineStr">
        <is>
          <t>1. 按前置数据/Mock创建独立测试数据，并读取操作前基线
2. 将参数化数据逐组执行：加载档案卡并检查会话接口
3. 收集接口响应、页面展示及持久化后的个人中心数据
4. 对照断言逐项校验，每组结束后还原Mock并清理测试数据</t>
        </is>
      </c>
      <c r="I6" s="14" t="inlineStr">
        <is>
          <t>本地回环显示本地网络和127.0.0.1；可解析结果正常；失败显示位置暂不可用；不暴露非当前会话设备信息</t>
        </is>
      </c>
      <c r="J6" s="13" t="inlineStr">
        <is>
          <t>quiz-web/e2e/profile/network-info.spec.ts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76" customHeight="1">
      <c r="A7" s="13" t="inlineStr">
        <is>
          <t>AUT-PC-PRO-004</t>
        </is>
      </c>
      <c r="B7" s="14" t="inlineStr">
        <is>
          <t>访问与档案</t>
        </is>
      </c>
      <c r="C7" s="14" t="inlineStr">
        <is>
          <t>无目标与缺失字段不得使用演示数据回填</t>
        </is>
      </c>
      <c r="D7" s="13" t="inlineStr">
        <is>
          <t>P0</t>
        </is>
      </c>
      <c r="E7" s="13" t="inlineStr">
        <is>
          <t>混合</t>
        </is>
      </c>
      <c r="F7" s="14" t="inlineStr">
        <is>
          <t>账号无目标偏好或接口返回空字段</t>
        </is>
      </c>
      <c r="G7" s="14" t="inlineStr">
        <is>
          <t>地区/院校/专业/时长/月为空</t>
        </is>
      </c>
      <c r="H7" s="14" t="inlineStr">
        <is>
          <t>1. 按前置数据/Mock创建独立测试数据，并读取操作前基线
2. 将参数化数据逐组执行：加载档案与目标卡
3. 收集接口响应、页面展示及持久化后的个人中心数据
4. 对照断言逐项校验，每组结束后还原Mock并清理测试数据</t>
        </is>
      </c>
      <c r="I7" s="14" t="inlineStr">
        <is>
          <t>页面显示未设置或空态；不得出现示例地区、院校、专业、时长和月份；响应空值不被前端默认值覆盖</t>
        </is>
      </c>
      <c r="J7" s="13" t="inlineStr">
        <is>
          <t>quiz-web/e2e/profile/no-fallback-data.spec.ts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>
        <is>
          <t>当前实现待对齐，建议优先锁定。</t>
        </is>
      </c>
      <c r="Q7" s="15" t="inlineStr"/>
      <c r="R7" s="15" t="inlineStr"/>
    </row>
  </sheetData>
  <autoFilter ref="A3:R7"/>
  <mergeCells count="2">
    <mergeCell ref="A2:R2"/>
    <mergeCell ref="A1:R1"/>
  </mergeCells>
  <conditionalFormatting sqref="D4:D7">
    <cfRule type="cellIs" priority="1" operator="equal" dxfId="8">
      <formula>"P0"</formula>
    </cfRule>
    <cfRule type="cellIs" priority="2" operator="equal" dxfId="9">
      <formula>"P1"</formula>
    </cfRule>
  </conditionalFormatting>
  <conditionalFormatting sqref="L4:L7">
    <cfRule type="cellIs" priority="3" operator="equal" dxfId="4">
      <formula>"未执行"</formula>
    </cfRule>
    <cfRule type="cellIs" priority="4" operator="equal" dxfId="10">
      <formula>"通过"</formula>
    </cfRule>
    <cfRule type="cellIs" priority="5" operator="equal" dxfId="11">
      <formula>"失败"</formula>
    </cfRule>
    <cfRule type="cellIs" priority="6" operator="equal" dxfId="8">
      <formula>"阻塞"</formula>
    </cfRule>
  </conditionalFormatting>
  <conditionalFormatting sqref="M4:M7">
    <cfRule type="cellIs" priority="7" operator="equal" dxfId="10">
      <formula>"是"</formula>
    </cfRule>
    <cfRule type="cellIs" priority="8" operator="equal" dxfId="11">
      <formula>"否"</formula>
    </cfRule>
  </conditionalFormatting>
  <conditionalFormatting sqref="N4:N7">
    <cfRule type="cellIs" priority="9" operator="equal" dxfId="8">
      <formula>"阻塞"</formula>
    </cfRule>
    <cfRule type="cellIs" priority="10" operator="equal" dxfId="11">
      <formula>"高"</formula>
    </cfRule>
    <cfRule type="cellIs" priority="11" operator="equal" dxfId="9">
      <formula>"中"</formula>
    </cfRule>
    <cfRule type="cellIs" priority="12" operator="equal" dxfId="5">
      <formula>"低"</formula>
    </cfRule>
    <cfRule type="cellIs" priority="13" operator="equal" dxfId="12">
      <formula>"轻微"</formula>
    </cfRule>
  </conditionalFormatting>
  <conditionalFormatting sqref="Q4:Q7">
    <cfRule type="cellIs" priority="14" operator="equal" dxfId="10">
      <formula>"已完成"</formula>
    </cfRule>
    <cfRule type="cellIs" priority="15" operator="equal" dxfId="9">
      <formula>"待讨论"</formula>
    </cfRule>
    <cfRule type="cellIs" priority="16" operator="equal" dxfId="4">
      <formula>"暂不修复"</formula>
    </cfRule>
  </conditionalFormatting>
  <conditionalFormatting sqref="R4:R7">
    <cfRule type="cellIs" priority="17" operator="equal" dxfId="10">
      <formula>"通过"</formula>
    </cfRule>
    <cfRule type="cellIs" priority="18" operator="equal" dxfId="11">
      <formula>"不通过"</formula>
    </cfRule>
  </conditionalFormatting>
  <conditionalFormatting sqref="K4:K7">
    <cfRule type="cellIs" priority="19" operator="equal" dxfId="9">
      <formula>"待实现"</formula>
    </cfRule>
    <cfRule type="cellIs" priority="20" operator="equal" dxfId="5">
      <formula>"开发中"</formula>
    </cfRule>
    <cfRule type="cellIs" priority="21" operator="equal" dxfId="10">
      <formula>"已实现"</formula>
    </cfRule>
    <cfRule type="cellIs" priority="22" operator="equal" dxfId="4">
      <formula>"暂缓"</formula>
    </cfRule>
  </conditionalFormatting>
  <dataValidations count="8">
    <dataValidation sqref="D4:D7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7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7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7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7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7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7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7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15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4.3 个人中心自动化测试用例｜会员与学习</t>
        </is>
      </c>
    </row>
    <row r="2" ht="26" customHeight="1">
      <c r="A2" s="12" t="inlineStr">
        <is>
          <t>来源：文档/4-需求文档/4.3 个人中心.md　｜　范围：参数化规则、接口、安全、并发与故障注入　｜　会员与学习：8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76" customHeight="1">
      <c r="A4" s="13" t="inlineStr">
        <is>
          <t>AUT-PC-MEM-001</t>
        </is>
      </c>
      <c r="B4" s="14" t="inlineStr">
        <is>
          <t>会员与学习</t>
        </is>
      </c>
      <c r="C4" s="14" t="inlineStr">
        <is>
          <t>当前考试选择优先级矩阵</t>
        </is>
      </c>
      <c r="D4" s="13" t="inlineStr">
        <is>
          <t>P0</t>
        </is>
      </c>
      <c r="E4" s="13" t="inlineStr">
        <is>
          <t>API</t>
        </is>
      </c>
      <c r="F4" s="14" t="inlineStr">
        <is>
          <t>准备目标偏好、有效会员和开放考试组合</t>
        </is>
      </c>
      <c r="G4" s="14" t="inlineStr">
        <is>
          <t>目标首项开放/目标仅STEP/仅有效会员/多有效会员/全部为空</t>
        </is>
      </c>
      <c r="H4" s="14" t="inlineStr">
        <is>
          <t>1. 按前置数据/Mock创建独立测试数据，并读取操作前基线
2. 将参数化数据逐组执行：调用个人中心上下文接口
3. 收集接口响应、页面展示及持久化后的个人中心数据
4. 对照断言逐项校验，每组结束后还原Mock并清理测试数据</t>
        </is>
      </c>
      <c r="I4" s="14" t="inlineStr">
        <is>
          <t>依次使用首个开放目标、有效会员考试和默认开放考试；STEP及未知考试不成为当前考试；结果稳定可复现</t>
        </is>
      </c>
      <c r="J4" s="13" t="inlineStr">
        <is>
          <t>api/tests/profile/current-exam.spec.ts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76" customHeight="1">
      <c r="A5" s="13" t="inlineStr">
        <is>
          <t>AUT-PC-MEM-002</t>
        </is>
      </c>
      <c r="B5" s="14" t="inlineStr">
        <is>
          <t>会员与学习</t>
        </is>
      </c>
      <c r="C5" s="14" t="inlineStr">
        <is>
          <t>ESAT与TMUA会员及学习增量严格隔离</t>
        </is>
      </c>
      <c r="D5" s="13" t="inlineStr">
        <is>
          <t>P0</t>
        </is>
      </c>
      <c r="E5" s="13" t="inlineStr">
        <is>
          <t>API</t>
        </is>
      </c>
      <c r="F5" s="14" t="inlineStr">
        <is>
          <t>为同一用户准备ESAT与TMUA不同会员、统计和基线；可完成单一考试的练习或诊断</t>
        </is>
      </c>
      <c r="G5" s="14" t="inlineStr">
        <is>
          <t>ESAT练习正式交卷；TMUA诊断正式交卷；反向组合；双会员/双免费</t>
        </is>
      </c>
      <c r="H5" s="14" t="inlineStr">
        <is>
          <t>1. 分别读取ESAT与TMUA方案、P、D、S、Q基线
2. 仅在参数指定考试完成练习或诊断并正式交卷
3. 再次分别读取两种考试上下文
4. 切换考试两次并核对页面数据
5. 清理本组记录后执行反向组合</t>
        </is>
      </c>
      <c r="I5" s="14" t="inlineStr">
        <is>
          <t>目标考试只增加对应P/D/Q并更新自身S；另一考试方案、到期、P、D、S、Q完全不变；临时切换不修改目标偏好。</t>
        </is>
      </c>
      <c r="J5" s="13" t="inlineStr">
        <is>
          <t>api/tests/profile/exam-isolation.spec.ts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76" customHeight="1">
      <c r="A6" s="13" t="inlineStr">
        <is>
          <t>AUT-PC-MEM-003</t>
        </is>
      </c>
      <c r="B6" s="14" t="inlineStr">
        <is>
          <t>会员与学习</t>
        </is>
      </c>
      <c r="C6" s="14" t="inlineStr">
        <is>
          <t>会员主按钮状态矩阵</t>
        </is>
      </c>
      <c r="D6" s="13" t="inlineStr">
        <is>
          <t>P0</t>
        </is>
      </c>
      <c r="E6" s="13" t="inlineStr">
        <is>
          <t>混合</t>
        </is>
      </c>
      <c r="F6" s="14" t="inlineStr">
        <is>
          <t>准备免费/会员/管理员及诊断记录组合</t>
        </is>
      </c>
      <c r="G6" s="14" t="inlineStr">
        <is>
          <t>非会员无诊断/非会员有诊断/有效会员/管理员/权益未知</t>
        </is>
      </c>
      <c r="H6" s="14" t="inlineStr">
        <is>
          <t>1. 按前置数据/Mock创建独立测试数据，并读取操作前基线
2. 将参数化数据逐组执行：加载会员卡并触发主操作
3. 收集接口响应、页面展示及持久化后的个人中心数据
4. 对照断言逐项校验，每组结束后还原Mock并清理测试数据</t>
        </is>
      </c>
      <c r="I6" s="14" t="inlineStr">
        <is>
          <t>分别显示开始诊断、开通会员、续费、无购买按钮和加载状态；来源考试传递正确；未知状态不生成操作</t>
        </is>
      </c>
      <c r="J6" s="13" t="inlineStr">
        <is>
          <t>quiz-web/e2e/profile/membership-actions.spec.ts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76" customHeight="1">
      <c r="A7" s="13" t="inlineStr">
        <is>
          <t>AUT-PC-MEM-004</t>
        </is>
      </c>
      <c r="B7" s="14" t="inlineStr">
        <is>
          <t>会员与学习</t>
        </is>
      </c>
      <c r="C7" s="14" t="inlineStr">
        <is>
          <t>学习统计聚合口径</t>
        </is>
      </c>
      <c r="D7" s="13" t="inlineStr">
        <is>
          <t>P0</t>
        </is>
      </c>
      <c r="E7" s="13" t="inlineStr">
        <is>
          <t>API</t>
        </is>
      </c>
      <c r="F7" s="14" t="inlineStr">
        <is>
          <t>准备题库交卷、诊断完成、进行中及失败记录</t>
        </is>
      </c>
      <c r="G7" s="14" t="inlineStr">
        <is>
          <t>正式交卷/草稿/重复提交；正式诊断/进行中/失败；跨考试</t>
        </is>
      </c>
      <c r="H7" s="14" t="inlineStr">
        <is>
          <t>1. 按前置数据/Mock创建独立测试数据，并读取操作前基线
2. 将参数化数据逐组执行：读取学习摘要
3. 收集接口响应、页面展示及持久化后的个人中心数据
4. 对照断言逐项校验，每组结束后还原Mock并清理测试数据</t>
        </is>
      </c>
      <c r="I7" s="14" t="inlineStr">
        <is>
          <t>题库累计只计正式交卷答题；诊断次数只计正式完成；累计做题按规定范围；重复与跨考试数据不重复计入</t>
        </is>
      </c>
      <c r="J7" s="13" t="inlineStr">
        <is>
          <t>api/tests/profile/learning-summary.spec.ts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76" customHeight="1">
      <c r="A8" s="13" t="inlineStr">
        <is>
          <t>AUT-PC-MEM-005</t>
        </is>
      </c>
      <c r="B8" s="14" t="inlineStr">
        <is>
          <t>会员与学习</t>
        </is>
      </c>
      <c r="C8" s="14" t="inlineStr">
        <is>
          <t>真实零值、未知状态与无分数区分</t>
        </is>
      </c>
      <c r="D8" s="13" t="inlineStr">
        <is>
          <t>P0</t>
        </is>
      </c>
      <c r="E8" s="13" t="inlineStr">
        <is>
          <t>混合</t>
        </is>
      </c>
      <c r="F8" s="14" t="inlineStr">
        <is>
          <t>Mock成功0、失败、无诊断分数</t>
        </is>
      </c>
      <c r="G8" s="14" t="inlineStr">
        <is>
          <t>0；接口失败；score=null</t>
        </is>
      </c>
      <c r="H8" s="14" t="inlineStr">
        <is>
          <t>1. 按前置数据/Mock创建独立测试数据，并读取操作前基线
2. 将参数化数据逐组执行：加载各统计区域
3. 收集接口响应、页面展示及持久化后的个人中心数据
4. 对照断言逐项校验，每组结束后还原Mock并清理测试数据</t>
        </is>
      </c>
      <c r="I8" s="14" t="inlineStr">
        <is>
          <t>成功0显示0；失败显示未知/重试而非0；无有效分显示--；页面不使用旧缓存伪装真实结果</t>
        </is>
      </c>
      <c r="J8" s="13" t="inlineStr">
        <is>
          <t>quiz-web/e2e/profile/summary-empty-unknown.spec.ts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>
        <is>
          <t>当前实现可能先显示免费或0，需作为缺陷判定。</t>
        </is>
      </c>
      <c r="Q8" s="15" t="inlineStr"/>
      <c r="R8" s="15" t="inlineStr"/>
    </row>
    <row r="9" ht="76" customHeight="1">
      <c r="A9" s="13" t="inlineStr">
        <is>
          <t>AUT-PC-MEM-006</t>
        </is>
      </c>
      <c r="B9" s="14" t="inlineStr">
        <is>
          <t>会员与学习</t>
        </is>
      </c>
      <c r="C9" s="14" t="inlineStr">
        <is>
          <t>STEP及未开放考试不可切换购买或学习</t>
        </is>
      </c>
      <c r="D9" s="13" t="inlineStr">
        <is>
          <t>P0</t>
        </is>
      </c>
      <c r="E9" s="13" t="inlineStr">
        <is>
          <t>混合</t>
        </is>
      </c>
      <c r="F9" s="14" t="inlineStr">
        <is>
          <t>存在STEP历史目标或会员记录</t>
        </is>
      </c>
      <c r="G9" s="14" t="inlineStr">
        <is>
          <t>点击STEP；构造examType=STEP/UNKNOWN</t>
        </is>
      </c>
      <c r="H9" s="14" t="inlineStr">
        <is>
          <t>1. 按前置数据/Mock创建独立测试数据，并读取操作前基线
2. 将参数化数据逐组执行：操作切换、购买和诊断入口
3. 收集接口响应、页面展示及持久化后的个人中心数据
4. 对照断言逐项校验，每组结束后还原Mock并清理测试数据</t>
        </is>
      </c>
      <c r="I9" s="14" t="inlineStr">
        <is>
          <t>UI仅提示正在推进中且当前考试不变；接口拒绝未开放考试购买/新学习任务；历史记录不授予权益</t>
        </is>
      </c>
      <c r="J9" s="13" t="inlineStr">
        <is>
          <t>api/tests/profile/unavailable-exam.spec.ts</t>
        </is>
      </c>
      <c r="K9" s="15" t="inlineStr">
        <is>
          <t>待实现</t>
        </is>
      </c>
      <c r="L9" s="15" t="inlineStr">
        <is>
          <t>未执行</t>
        </is>
      </c>
      <c r="M9" s="15" t="inlineStr"/>
      <c r="N9" s="15" t="inlineStr"/>
      <c r="O9" s="16" t="inlineStr"/>
      <c r="P9" s="16" t="inlineStr"/>
      <c r="Q9" s="15" t="inlineStr"/>
      <c r="R9" s="15" t="inlineStr"/>
    </row>
    <row r="10" ht="76" customHeight="1">
      <c r="A10" s="13" t="inlineStr">
        <is>
          <t>AUT-PC-MEM-007</t>
        </is>
      </c>
      <c r="B10" s="14" t="inlineStr">
        <is>
          <t>会员与学习</t>
        </is>
      </c>
      <c r="C10" s="14" t="inlineStr">
        <is>
          <t>当前有效权益选择与来源区分</t>
        </is>
      </c>
      <c r="D10" s="13" t="inlineStr">
        <is>
          <t>P0</t>
        </is>
      </c>
      <c r="E10" s="13" t="inlineStr">
        <is>
          <t>API</t>
        </is>
      </c>
      <c r="F10" s="14" t="inlineStr">
        <is>
          <t>同考试存在有效、过期、取消、后台授权和多条记录</t>
        </is>
      </c>
      <c r="G10" s="14" t="inlineStr">
        <is>
          <t>不同结束时间与来源组合</t>
        </is>
      </c>
      <c r="H10" s="14" t="inlineStr">
        <is>
          <t>1. 按前置数据/Mock创建独立测试数据，并读取操作前基线
2. 将参数化数据逐组执行：读取会员上下文和顶部标签
3. 收集接口响应、页面展示及持久化后的个人中心数据
4. 对照断言逐项校验，每组结束后还原Mock并清理测试数据</t>
        </is>
      </c>
      <c r="I10" s="14" t="inlineStr">
        <is>
          <t>有效期内结束最晚记录承担当前权益；过期取消不进标签；后台授权可形成权益但无支付订单；管理员身份独立判断</t>
        </is>
      </c>
      <c r="J10" s="13" t="inlineStr">
        <is>
          <t>api/tests/profile/active-membership.spec.ts</t>
        </is>
      </c>
      <c r="K10" s="15" t="inlineStr">
        <is>
          <t>待实现</t>
        </is>
      </c>
      <c r="L10" s="15" t="inlineStr">
        <is>
          <t>未执行</t>
        </is>
      </c>
      <c r="M10" s="15" t="inlineStr"/>
      <c r="N10" s="15" t="inlineStr"/>
      <c r="O10" s="16" t="inlineStr"/>
      <c r="P10" s="16" t="inlineStr"/>
      <c r="Q10" s="15" t="inlineStr"/>
      <c r="R10" s="15" t="inlineStr"/>
    </row>
    <row r="11" ht="76" customHeight="1">
      <c r="A11" s="13" t="inlineStr">
        <is>
          <t>AUT-PC-MEM-008</t>
        </is>
      </c>
      <c r="B11" s="14" t="inlineStr">
        <is>
          <t>会员与学习</t>
        </is>
      </c>
      <c r="C11" s="14" t="inlineStr">
        <is>
          <t>目标功能对陈旧页面摘要重新校验权益</t>
        </is>
      </c>
      <c r="D11" s="13" t="inlineStr">
        <is>
          <t>P0</t>
        </is>
      </c>
      <c r="E11" s="13" t="inlineStr">
        <is>
          <t>混合</t>
        </is>
      </c>
      <c r="F11" s="14" t="inlineStr">
        <is>
          <t>页面先显示会员，随后使权益到期或取消</t>
        </is>
      </c>
      <c r="G11" s="14" t="inlineStr">
        <is>
          <t>开始诊断/开通或续费操作</t>
        </is>
      </c>
      <c r="H11" s="14" t="inlineStr">
        <is>
          <t>1. 按前置数据/Mock创建独立测试数据，并读取操作前基线
2. 将参数化数据逐组执行：不刷新页面直接触发新操作
3. 收集接口响应、页面展示及持久化后的个人中心数据
4. 对照断言逐项校验，每组结束后还原Mock并清理测试数据</t>
        </is>
      </c>
      <c r="I11" s="14" t="inlineStr">
        <is>
          <t>服务端按最新权益拒绝无资格新任务并给购买入口；进行中任务和历史结果保留；前端旧按钮不能绕过</t>
        </is>
      </c>
      <c r="J11" s="13" t="inlineStr">
        <is>
          <t>api/tests/profile/stale-entitlement.spec.ts</t>
        </is>
      </c>
      <c r="K11" s="15" t="inlineStr">
        <is>
          <t>待实现</t>
        </is>
      </c>
      <c r="L11" s="15" t="inlineStr">
        <is>
          <t>未执行</t>
        </is>
      </c>
      <c r="M11" s="15" t="inlineStr"/>
      <c r="N11" s="15" t="inlineStr"/>
      <c r="O11" s="16" t="inlineStr"/>
      <c r="P11" s="16" t="inlineStr"/>
      <c r="Q11" s="15" t="inlineStr"/>
      <c r="R11" s="15" t="inlineStr"/>
    </row>
    <row r="12" ht="93" customHeight="1">
      <c r="A12" s="13" t="inlineStr">
        <is>
          <t>AUT-PC-MEM-009</t>
        </is>
      </c>
      <c r="B12" s="14" t="inlineStr">
        <is>
          <t>会员与学习</t>
        </is>
      </c>
      <c r="C12" s="14" t="inlineStr">
        <is>
          <t>题库练习状态迁移与个人中心题量增量</t>
        </is>
      </c>
      <c r="D12" s="13" t="inlineStr">
        <is>
          <t>P0</t>
        </is>
      </c>
      <c r="E12" s="13" t="inlineStr">
        <is>
          <t>API</t>
        </is>
      </c>
      <c r="F12" s="14" t="inlineStr">
        <is>
          <t>为单一用户和考试创建统计基线P/Q；可控制练习状态、生成题量与作答数量</t>
        </is>
      </c>
      <c r="G12" s="14" t="inlineStr">
        <is>
          <t>题量1/5/25；已答0/部分/全部；草稿/进行中/正式交卷</t>
        </is>
      </c>
      <c r="H12" s="14" t="inlineStr">
        <is>
          <t>1. 读取个人中心基线P、Q、D
2. 创建练习并保存草稿或进行中状态，重新读取摘要
3. 将同一练习正式交卷并读取落库题目数
4. 再次读取个人中心摘要并刷新查询
5. 对每组参数清理数据后重复</t>
        </is>
      </c>
      <c r="I12" s="14" t="inlineStr">
        <is>
          <t>草稿和进行中不改变P/Q/D；正式交卷后P与Q均增加服务端生成题量，和实际作答数量无关；D不变；同一练习只计一次；重新查询结果稳定。</t>
        </is>
      </c>
      <c r="J12" s="13" t="inlineStr">
        <is>
          <t>api/tests/profile/practice-stat-transition.spec.ts</t>
        </is>
      </c>
      <c r="K12" s="15" t="inlineStr">
        <is>
          <t>待实现</t>
        </is>
      </c>
      <c r="L12" s="15" t="inlineStr">
        <is>
          <t>未执行</t>
        </is>
      </c>
      <c r="M12" s="15" t="inlineStr"/>
      <c r="N12" s="15" t="inlineStr"/>
      <c r="O12" s="16" t="inlineStr"/>
      <c r="P12" s="16" t="inlineStr"/>
      <c r="Q12" s="15" t="inlineStr"/>
      <c r="R12" s="15" t="inlineStr"/>
    </row>
    <row r="13" ht="93" customHeight="1">
      <c r="A13" s="13" t="inlineStr">
        <is>
          <t>AUT-PC-MEM-010</t>
        </is>
      </c>
      <c r="B13" s="14" t="inlineStr">
        <is>
          <t>会员与学习</t>
        </is>
      </c>
      <c r="C13" s="14" t="inlineStr">
        <is>
          <t>诊断正式交卷驱动次数与最新预估分更新</t>
        </is>
      </c>
      <c r="D13" s="13" t="inlineStr">
        <is>
          <t>P0</t>
        </is>
      </c>
      <c r="E13" s="13" t="inlineStr">
        <is>
          <t>API</t>
        </is>
      </c>
      <c r="F13" s="14" t="inlineStr">
        <is>
          <t>为ESAT/TMUA分别创建基线D/S/Q；可控制attempt与报告状态</t>
        </is>
      </c>
      <c r="G13" s="14" t="inlineStr">
        <is>
          <t>进行中；正式交卷+待生成/生成中/成功/分析失败；不同分数</t>
        </is>
      </c>
      <c r="H13" s="14" t="inlineStr">
        <is>
          <t>1. 读取目标考试D、S、Q基线
2. 创建并保存进行中attempt后读取个人中心
3. 将同一attempt正式交卷并生成成绩
4. 在四种报告状态下分别读取个人中心
5. 切换另一考试读取隔离数据</t>
        </is>
      </c>
      <c r="I13" s="14" t="inlineStr">
        <is>
          <t>进行中不增加D且不覆盖S；正式交卷后D恰好+1、S取该次真实成绩、Q按正式答题记录更新；报告状态不影响D；另一考试所有统计不变。</t>
        </is>
      </c>
      <c r="J13" s="13" t="inlineStr">
        <is>
          <t>api/tests/profile/diagnostic-stat-transition.spec.ts</t>
        </is>
      </c>
      <c r="K13" s="15" t="inlineStr">
        <is>
          <t>待实现</t>
        </is>
      </c>
      <c r="L13" s="15" t="inlineStr">
        <is>
          <t>未执行</t>
        </is>
      </c>
      <c r="M13" s="15" t="inlineStr"/>
      <c r="N13" s="15" t="inlineStr"/>
      <c r="O13" s="16" t="inlineStr"/>
      <c r="P13" s="16" t="inlineStr"/>
      <c r="Q13" s="15" t="inlineStr"/>
      <c r="R13" s="15" t="inlineStr"/>
    </row>
    <row r="14" ht="93" customHeight="1">
      <c r="A14" s="13" t="inlineStr">
        <is>
          <t>AUT-PC-MEM-011</t>
        </is>
      </c>
      <c r="B14" s="14" t="inlineStr">
        <is>
          <t>会员与学习</t>
        </is>
      </c>
      <c r="C14" s="14" t="inlineStr">
        <is>
          <t>诊断重新测试按正式记录逐次累计且历史不覆盖</t>
        </is>
      </c>
      <c r="D14" s="13" t="inlineStr">
        <is>
          <t>P0</t>
        </is>
      </c>
      <c r="E14" s="13" t="inlineStr">
        <is>
          <t>API</t>
        </is>
      </c>
      <c r="F14" s="14" t="inlineStr">
        <is>
          <t>同一试卷已有一次正式诊断记录；支持创建全新重测attempt</t>
        </is>
      </c>
      <c r="G14" s="14" t="inlineStr">
        <is>
          <t>连续重测1/2次；相同/不同分数；报告成功/失败</t>
        </is>
      </c>
      <c r="H14" s="14" t="inlineStr">
        <is>
          <t>1. 读取D、S及历史记录数H
2. 创建空白重测attempt并确认此时D/H不变
3. 正式交卷并读取D、S、H
4. 按参数再次重测并重复查询
5. 读取每个历史examRecord的成绩和状态</t>
        </is>
      </c>
      <c r="I14" s="14" t="inlineStr">
        <is>
          <t>每个不同attempt只在正式交卷后使D与H各+1；S始终取最新正式成绩；旧成绩和报告状态保持；分析失败不回滚已完成次数。</t>
        </is>
      </c>
      <c r="J14" s="13" t="inlineStr">
        <is>
          <t>api/tests/profile/diagnostic-retest-summary.spec.ts</t>
        </is>
      </c>
      <c r="K14" s="15" t="inlineStr">
        <is>
          <t>待实现</t>
        </is>
      </c>
      <c r="L14" s="15" t="inlineStr">
        <is>
          <t>未执行</t>
        </is>
      </c>
      <c r="M14" s="15" t="inlineStr"/>
      <c r="N14" s="15" t="inlineStr"/>
      <c r="O14" s="16" t="inlineStr"/>
      <c r="P14" s="16" t="inlineStr"/>
      <c r="Q14" s="15" t="inlineStr"/>
      <c r="R14" s="15" t="inlineStr"/>
    </row>
    <row r="15" ht="93" customHeight="1">
      <c r="A15" s="13" t="inlineStr">
        <is>
          <t>AUT-PC-MEM-012</t>
        </is>
      </c>
      <c r="B15" s="14" t="inlineStr">
        <is>
          <t>会员与学习</t>
        </is>
      </c>
      <c r="C15" s="14" t="inlineStr">
        <is>
          <t>练习与诊断交卷并发、重试及响应丢失保持幂等</t>
        </is>
      </c>
      <c r="D15" s="13" t="inlineStr">
        <is>
          <t>P0</t>
        </is>
      </c>
      <c r="E15" s="13" t="inlineStr">
        <is>
          <t>API</t>
        </is>
      </c>
      <c r="F15" s="14" t="inlineStr">
        <is>
          <t>可注入超时、500、事务回滚和成功响应丢失；准备同一practiceId或attemptId</t>
        </is>
      </c>
      <c r="G15" s="14" t="inlineStr">
        <is>
          <t>业务=练习/诊断；并发2/5次；失败后重试；成功响应丢失</t>
        </is>
      </c>
      <c r="H15" s="14" t="inlineStr">
        <is>
          <t>1. 读取个人中心统计基线
2. 对同一交卷标识并发发送参数化请求
3. 在失败或响应丢失后使用同一标识重试
4. 查询正式记录、个人中心摘要和历史列表
5. 再次重复查询确认没有延迟重复累计</t>
        </is>
      </c>
      <c r="I15" s="14" t="inlineStr">
        <is>
          <t>事务失败不产生统计；最终至多一条正式记录；练习只按题量增加一次，诊断次数只增加一次；重试返回同一业务结果；不存在重复成绩、报告任务或跨考试增量。</t>
        </is>
      </c>
      <c r="J15" s="13" t="inlineStr">
        <is>
          <t>api/tests/profile/submission-idempotency-summary.spec.ts</t>
        </is>
      </c>
      <c r="K15" s="15" t="inlineStr">
        <is>
          <t>待实现</t>
        </is>
      </c>
      <c r="L15" s="15" t="inlineStr">
        <is>
          <t>未执行</t>
        </is>
      </c>
      <c r="M15" s="15" t="inlineStr"/>
      <c r="N15" s="15" t="inlineStr"/>
      <c r="O15" s="16" t="inlineStr"/>
      <c r="P15" s="16" t="inlineStr"/>
      <c r="Q15" s="15" t="inlineStr"/>
      <c r="R15" s="15" t="inlineStr"/>
    </row>
  </sheetData>
  <autoFilter ref="A3:R15"/>
  <mergeCells count="2">
    <mergeCell ref="A2:R2"/>
    <mergeCell ref="A1:R1"/>
  </mergeCells>
  <conditionalFormatting sqref="D4:D15">
    <cfRule type="cellIs" priority="1" operator="equal" dxfId="8">
      <formula>"P0"</formula>
    </cfRule>
    <cfRule type="cellIs" priority="2" operator="equal" dxfId="9">
      <formula>"P1"</formula>
    </cfRule>
  </conditionalFormatting>
  <conditionalFormatting sqref="L4:L15">
    <cfRule type="cellIs" priority="3" operator="equal" dxfId="4">
      <formula>"未执行"</formula>
    </cfRule>
    <cfRule type="cellIs" priority="4" operator="equal" dxfId="10">
      <formula>"通过"</formula>
    </cfRule>
    <cfRule type="cellIs" priority="5" operator="equal" dxfId="11">
      <formula>"失败"</formula>
    </cfRule>
    <cfRule type="cellIs" priority="6" operator="equal" dxfId="8">
      <formula>"阻塞"</formula>
    </cfRule>
  </conditionalFormatting>
  <conditionalFormatting sqref="M4:M15">
    <cfRule type="cellIs" priority="7" operator="equal" dxfId="10">
      <formula>"是"</formula>
    </cfRule>
    <cfRule type="cellIs" priority="8" operator="equal" dxfId="11">
      <formula>"否"</formula>
    </cfRule>
  </conditionalFormatting>
  <conditionalFormatting sqref="N4:N15">
    <cfRule type="cellIs" priority="9" operator="equal" dxfId="8">
      <formula>"阻塞"</formula>
    </cfRule>
    <cfRule type="cellIs" priority="10" operator="equal" dxfId="11">
      <formula>"高"</formula>
    </cfRule>
    <cfRule type="cellIs" priority="11" operator="equal" dxfId="9">
      <formula>"中"</formula>
    </cfRule>
    <cfRule type="cellIs" priority="12" operator="equal" dxfId="5">
      <formula>"低"</formula>
    </cfRule>
    <cfRule type="cellIs" priority="13" operator="equal" dxfId="12">
      <formula>"轻微"</formula>
    </cfRule>
  </conditionalFormatting>
  <conditionalFormatting sqref="Q4:Q15">
    <cfRule type="cellIs" priority="14" operator="equal" dxfId="10">
      <formula>"已完成"</formula>
    </cfRule>
    <cfRule type="cellIs" priority="15" operator="equal" dxfId="9">
      <formula>"待讨论"</formula>
    </cfRule>
    <cfRule type="cellIs" priority="16" operator="equal" dxfId="4">
      <formula>"暂不修复"</formula>
    </cfRule>
  </conditionalFormatting>
  <conditionalFormatting sqref="R4:R15">
    <cfRule type="cellIs" priority="17" operator="equal" dxfId="10">
      <formula>"通过"</formula>
    </cfRule>
    <cfRule type="cellIs" priority="18" operator="equal" dxfId="11">
      <formula>"不通过"</formula>
    </cfRule>
  </conditionalFormatting>
  <conditionalFormatting sqref="K4:K15">
    <cfRule type="cellIs" priority="19" operator="equal" dxfId="9">
      <formula>"待实现"</formula>
    </cfRule>
    <cfRule type="cellIs" priority="20" operator="equal" dxfId="5">
      <formula>"开发中"</formula>
    </cfRule>
    <cfRule type="cellIs" priority="21" operator="equal" dxfId="10">
      <formula>"已实现"</formula>
    </cfRule>
    <cfRule type="cellIs" priority="22" operator="equal" dxfId="4">
      <formula>"暂缓"</formula>
    </cfRule>
  </conditionalFormatting>
  <dataValidations count="8">
    <dataValidation sqref="D4:D15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15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15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15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15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15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15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15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10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4.3 个人中心自动化测试用例｜邮箱修改</t>
        </is>
      </c>
    </row>
    <row r="2" ht="26" customHeight="1">
      <c r="A2" s="12" t="inlineStr">
        <is>
          <t>来源：文档/4-需求文档/4.3 个人中心.md　｜　范围：参数化规则、接口、安全、并发与故障注入　｜　邮箱修改：7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76" customHeight="1">
      <c r="A4" s="13" t="inlineStr">
        <is>
          <t>AUT-PC-EML-001</t>
        </is>
      </c>
      <c r="B4" s="14" t="inlineStr">
        <is>
          <t>邮箱修改</t>
        </is>
      </c>
      <c r="C4" s="14" t="inlineStr">
        <is>
          <t>新邮箱必填、格式及不同于当前邮箱参数集</t>
        </is>
      </c>
      <c r="D4" s="13" t="inlineStr">
        <is>
          <t>P1</t>
        </is>
      </c>
      <c r="E4" s="13" t="inlineStr">
        <is>
          <t>混合</t>
        </is>
      </c>
      <c r="F4" s="14" t="inlineStr">
        <is>
          <t>打开修改信息弹窗</t>
        </is>
      </c>
      <c r="G4" s="14" t="inlineStr">
        <is>
          <t>空/合法/缺@/缺域名/内部空格/超长/与当前邮箱大小写或空格等价</t>
        </is>
      </c>
      <c r="H4" s="14" t="inlineStr">
        <is>
          <t>1. 按前置数据/Mock创建独立测试数据，并读取操作前基线
2. 将参数化数据逐组执行：逐组请求验证码
3. 收集接口响应、页面展示及持久化后的个人中心数据
4. 对照断言逐项校验，每组结束后还原Mock并清理测试数据</t>
        </is>
      </c>
      <c r="I4" s="14" t="inlineStr">
        <is>
          <t>非法、空或规范化后等于当前邮箱均不发送；合法不同邮箱才创建挑战；页面提示定位正确</t>
        </is>
      </c>
      <c r="J4" s="13" t="inlineStr">
        <is>
          <t>quiz-web/e2e/profile/email-validation.spec.ts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76" customHeight="1">
      <c r="A5" s="13" t="inlineStr">
        <is>
          <t>AUT-PC-EML-002</t>
        </is>
      </c>
      <c r="B5" s="14" t="inlineStr">
        <is>
          <t>邮箱修改</t>
        </is>
      </c>
      <c r="C5" s="14" t="inlineStr">
        <is>
          <t>邮箱规范化与全局唯一</t>
        </is>
      </c>
      <c r="D5" s="13" t="inlineStr">
        <is>
          <t>P0</t>
        </is>
      </c>
      <c r="E5" s="13" t="inlineStr">
        <is>
          <t>API</t>
        </is>
      </c>
      <c r="F5" s="14" t="inlineStr">
        <is>
          <t>准备已占用邮箱和未占用邮箱</t>
        </is>
      </c>
      <c r="G5" s="14" t="inlineStr">
        <is>
          <t>Existing@Example.COM；前后空格；并发相同新邮箱</t>
        </is>
      </c>
      <c r="H5" s="14" t="inlineStr">
        <is>
          <t>1. 按前置数据/Mock创建独立测试数据，并读取操作前基线
2. 将参数化数据逐组执行：请求验证码并保存邮箱
3. 收集接口响应、页面展示及持久化后的个人中心数据
4. 对照断言逐项校验，每组结束后还原Mock并清理测试数据</t>
        </is>
      </c>
      <c r="I5" s="14" t="inlineStr">
        <is>
          <t>去空格小写后判重；已占用不更新；并发最多一个账号成功占用；数据库保持唯一</t>
        </is>
      </c>
      <c r="J5" s="13" t="inlineStr">
        <is>
          <t>api/tests/profile/email-uniqueness.spec.ts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76" customHeight="1">
      <c r="A6" s="13" t="inlineStr">
        <is>
          <t>AUT-PC-EML-003</t>
        </is>
      </c>
      <c r="B6" s="14" t="inlineStr">
        <is>
          <t>邮箱修改</t>
        </is>
      </c>
      <c r="C6" s="14" t="inlineStr">
        <is>
          <t>验证码绑定新邮箱且地址变化使旧挑战失效</t>
        </is>
      </c>
      <c r="D6" s="13" t="inlineStr">
        <is>
          <t>P0</t>
        </is>
      </c>
      <c r="E6" s="13" t="inlineStr">
        <is>
          <t>API</t>
        </is>
      </c>
      <c r="F6" s="14" t="inlineStr">
        <is>
          <t>为邮箱A获取修改邮箱验证码</t>
        </is>
      </c>
      <c r="G6" s="14" t="inlineStr">
        <is>
          <t>邮箱A验证码；改为邮箱B；不同challengeId</t>
        </is>
      </c>
      <c r="H6" s="14" t="inlineStr">
        <is>
          <t>1. 按前置数据/Mock创建独立测试数据，并读取操作前基线
2. 将参数化数据逐组执行：交叉提交保存
3. 收集接口响应、页面展示及持久化后的个人中心数据
4. 对照断言逐项校验，每组结束后还原Mock并清理测试数据</t>
        </is>
      </c>
      <c r="I6" s="14" t="inlineStr">
        <is>
          <t>验证码只对获取时邮箱和用途有效；地址变化后旧码不可用；不匹配不更新账号</t>
        </is>
      </c>
      <c r="J6" s="13" t="inlineStr">
        <is>
          <t>api/tests/profile/email-code-binding.spec.ts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76" customHeight="1">
      <c r="A7" s="13" t="inlineStr">
        <is>
          <t>AUT-PC-EML-004</t>
        </is>
      </c>
      <c r="B7" s="14" t="inlineStr">
        <is>
          <t>邮箱修改</t>
        </is>
      </c>
      <c r="C7" s="14" t="inlineStr">
        <is>
          <t>验证码格式、有效期、错误次数与复用矩阵</t>
        </is>
      </c>
      <c r="D7" s="13" t="inlineStr">
        <is>
          <t>P0</t>
        </is>
      </c>
      <c r="E7" s="13" t="inlineStr">
        <is>
          <t>API</t>
        </is>
      </c>
      <c r="F7" s="14" t="inlineStr">
        <is>
          <t>使用假时钟创建有效挑战</t>
        </is>
      </c>
      <c r="G7" s="14" t="inlineStr">
        <is>
          <t>六位/非数字/前导零；9:59/10:00后；错误1-5次；已消费</t>
        </is>
      </c>
      <c r="H7" s="14" t="inlineStr">
        <is>
          <t>1. 按前置数据/Mock创建独立测试数据，并读取操作前基线
2. 将参数化数据逐组执行：参数化校验并保存
3. 收集接口响应、页面展示及持久化后的个人中心数据
4. 对照断言逐项校验，每组结束后还原Mock并清理测试数据</t>
        </is>
      </c>
      <c r="I7" s="14" t="inlineStr">
        <is>
          <t>仅有效六位数字在有效期内首次消费成功；第五次错误后失效；已消费码不可复用</t>
        </is>
      </c>
      <c r="J7" s="13" t="inlineStr">
        <is>
          <t>api/tests/profile/email-code-lifecycle.spec.ts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76" customHeight="1">
      <c r="A8" s="13" t="inlineStr">
        <is>
          <t>AUT-PC-EML-005</t>
        </is>
      </c>
      <c r="B8" s="14" t="inlineStr">
        <is>
          <t>邮箱修改</t>
        </is>
      </c>
      <c r="C8" s="14" t="inlineStr">
        <is>
          <t>发送限流与弹窗重开不能绕过倒计时</t>
        </is>
      </c>
      <c r="D8" s="13" t="inlineStr">
        <is>
          <t>P0</t>
        </is>
      </c>
      <c r="E8" s="13" t="inlineStr">
        <is>
          <t>混合</t>
        </is>
      </c>
      <c r="F8" s="14" t="inlineStr">
        <is>
          <t>可控制时间与来源</t>
        </is>
      </c>
      <c r="G8" s="14" t="inlineStr">
        <is>
          <t>59秒/60秒；每小时第5/6次；来源总上限；关闭重开</t>
        </is>
      </c>
      <c r="H8" s="14" t="inlineStr">
        <is>
          <t>1. 按前置数据/Mock创建独立测试数据，并读取操作前基线
2. 将参数化数据逐组执行：发送验证码并切换弹窗状态
3. 收集接口响应、页面展示及持久化后的个人中心数据
4. 对照断言逐项校验，每组结束后还原Mock并清理测试数据</t>
        </is>
      </c>
      <c r="I8" s="14" t="inlineStr">
        <is>
          <t>边界按4.4规则限制；倒计时跨弹窗存在；更换地址不能绕过来源限制；窗口结束恢复</t>
        </is>
      </c>
      <c r="J8" s="13" t="inlineStr">
        <is>
          <t>quiz-web/e2e/profile/email-code-rate-limit.spec.ts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/>
      <c r="Q8" s="15" t="inlineStr"/>
      <c r="R8" s="15" t="inlineStr"/>
    </row>
    <row r="9" ht="76" customHeight="1">
      <c r="A9" s="13" t="inlineStr">
        <is>
          <t>AUT-PC-EML-006</t>
        </is>
      </c>
      <c r="B9" s="14" t="inlineStr">
        <is>
          <t>邮箱修改</t>
        </is>
      </c>
      <c r="C9" s="14" t="inlineStr">
        <is>
          <t>邮箱保存原子性与正式展示更新</t>
        </is>
      </c>
      <c r="D9" s="13" t="inlineStr">
        <is>
          <t>P0</t>
        </is>
      </c>
      <c r="E9" s="13" t="inlineStr">
        <is>
          <t>混合</t>
        </is>
      </c>
      <c r="F9" s="14" t="inlineStr">
        <is>
          <t>可注入保存失败和刷新失败</t>
        </is>
      </c>
      <c r="G9" s="14" t="inlineStr">
        <is>
          <t>成功；账号更新失败；成功后档案刷新失败</t>
        </is>
      </c>
      <c r="H9" s="14" t="inlineStr">
        <is>
          <t>1. 按前置数据/Mock创建独立测试数据，并读取操作前基线
2. 将参数化数据逐组执行：提交邮箱并读取账号、挑战和页面
3. 收集接口响应、页面展示及持久化后的个人中心数据
4. 对照断言逐项校验，每组结束后还原Mock并清理测试数据</t>
        </is>
      </c>
      <c r="I9" s="14" t="inlineStr">
        <is>
          <t>只有账号更新与验证码消费共同成功才显示完成；失败保持旧邮箱；成功后正式值已生效，刷新失败可重载但不得回滚</t>
        </is>
      </c>
      <c r="J9" s="13" t="inlineStr">
        <is>
          <t>api/tests/profile/email-update-atomicity.spec.ts</t>
        </is>
      </c>
      <c r="K9" s="15" t="inlineStr">
        <is>
          <t>待实现</t>
        </is>
      </c>
      <c r="L9" s="15" t="inlineStr">
        <is>
          <t>未执行</t>
        </is>
      </c>
      <c r="M9" s="15" t="inlineStr"/>
      <c r="N9" s="15" t="inlineStr"/>
      <c r="O9" s="16" t="inlineStr"/>
      <c r="P9" s="16" t="inlineStr"/>
      <c r="Q9" s="15" t="inlineStr"/>
      <c r="R9" s="15" t="inlineStr"/>
    </row>
    <row r="10" ht="76" customHeight="1">
      <c r="A10" s="13" t="inlineStr">
        <is>
          <t>AUT-PC-EML-007</t>
        </is>
      </c>
      <c r="B10" s="14" t="inlineStr">
        <is>
          <t>邮箱修改</t>
        </is>
      </c>
      <c r="C10" s="14" t="inlineStr">
        <is>
          <t>邮箱保存防重复且不提交密码草稿</t>
        </is>
      </c>
      <c r="D10" s="13" t="inlineStr">
        <is>
          <t>P0</t>
        </is>
      </c>
      <c r="E10" s="13" t="inlineStr">
        <is>
          <t>混合</t>
        </is>
      </c>
      <c r="F10" s="14" t="inlineStr">
        <is>
          <t>邮箱数据有效，密码区有未提交输入</t>
        </is>
      </c>
      <c r="G10" s="14" t="inlineStr">
        <is>
          <t>2/5次快速点击保存邮箱</t>
        </is>
      </c>
      <c r="H10" s="14" t="inlineStr">
        <is>
          <t>1. 按前置数据/Mock创建独立测试数据，并读取操作前基线
2. 将参数化数据逐组执行：并发提交并读取邮箱、密码、挑战
3. 收集接口响应、页面展示及持久化后的个人中心数据
4. 对照断言逐项校验，每组结束后还原Mock并清理测试数据</t>
        </is>
      </c>
      <c r="I10" s="14" t="inlineStr">
        <is>
          <t>最多一次邮箱修改成功；密码保持原值；验证码消费一次；弹窗仍允许后续独立密码操作</t>
        </is>
      </c>
      <c r="J10" s="13" t="inlineStr">
        <is>
          <t>quiz-web/e2e/profile/email-idempotency.spec.ts</t>
        </is>
      </c>
      <c r="K10" s="15" t="inlineStr">
        <is>
          <t>待实现</t>
        </is>
      </c>
      <c r="L10" s="15" t="inlineStr">
        <is>
          <t>未执行</t>
        </is>
      </c>
      <c r="M10" s="15" t="inlineStr"/>
      <c r="N10" s="15" t="inlineStr"/>
      <c r="O10" s="16" t="inlineStr"/>
      <c r="P10" s="16" t="inlineStr"/>
      <c r="Q10" s="15" t="inlineStr"/>
      <c r="R10" s="15" t="inlineStr"/>
    </row>
  </sheetData>
  <autoFilter ref="A3:R10"/>
  <mergeCells count="2">
    <mergeCell ref="A2:R2"/>
    <mergeCell ref="A1:R1"/>
  </mergeCells>
  <conditionalFormatting sqref="D4:D10">
    <cfRule type="cellIs" priority="1" operator="equal" dxfId="8">
      <formula>"P0"</formula>
    </cfRule>
    <cfRule type="cellIs" priority="2" operator="equal" dxfId="9">
      <formula>"P1"</formula>
    </cfRule>
  </conditionalFormatting>
  <conditionalFormatting sqref="L4:L10">
    <cfRule type="cellIs" priority="3" operator="equal" dxfId="4">
      <formula>"未执行"</formula>
    </cfRule>
    <cfRule type="cellIs" priority="4" operator="equal" dxfId="10">
      <formula>"通过"</formula>
    </cfRule>
    <cfRule type="cellIs" priority="5" operator="equal" dxfId="11">
      <formula>"失败"</formula>
    </cfRule>
    <cfRule type="cellIs" priority="6" operator="equal" dxfId="8">
      <formula>"阻塞"</formula>
    </cfRule>
  </conditionalFormatting>
  <conditionalFormatting sqref="M4:M10">
    <cfRule type="cellIs" priority="7" operator="equal" dxfId="10">
      <formula>"是"</formula>
    </cfRule>
    <cfRule type="cellIs" priority="8" operator="equal" dxfId="11">
      <formula>"否"</formula>
    </cfRule>
  </conditionalFormatting>
  <conditionalFormatting sqref="N4:N10">
    <cfRule type="cellIs" priority="9" operator="equal" dxfId="8">
      <formula>"阻塞"</formula>
    </cfRule>
    <cfRule type="cellIs" priority="10" operator="equal" dxfId="11">
      <formula>"高"</formula>
    </cfRule>
    <cfRule type="cellIs" priority="11" operator="equal" dxfId="9">
      <formula>"中"</formula>
    </cfRule>
    <cfRule type="cellIs" priority="12" operator="equal" dxfId="5">
      <formula>"低"</formula>
    </cfRule>
    <cfRule type="cellIs" priority="13" operator="equal" dxfId="12">
      <formula>"轻微"</formula>
    </cfRule>
  </conditionalFormatting>
  <conditionalFormatting sqref="Q4:Q10">
    <cfRule type="cellIs" priority="14" operator="equal" dxfId="10">
      <formula>"已完成"</formula>
    </cfRule>
    <cfRule type="cellIs" priority="15" operator="equal" dxfId="9">
      <formula>"待讨论"</formula>
    </cfRule>
    <cfRule type="cellIs" priority="16" operator="equal" dxfId="4">
      <formula>"暂不修复"</formula>
    </cfRule>
  </conditionalFormatting>
  <conditionalFormatting sqref="R4:R10">
    <cfRule type="cellIs" priority="17" operator="equal" dxfId="10">
      <formula>"通过"</formula>
    </cfRule>
    <cfRule type="cellIs" priority="18" operator="equal" dxfId="11">
      <formula>"不通过"</formula>
    </cfRule>
  </conditionalFormatting>
  <conditionalFormatting sqref="K4:K10">
    <cfRule type="cellIs" priority="19" operator="equal" dxfId="9">
      <formula>"待实现"</formula>
    </cfRule>
    <cfRule type="cellIs" priority="20" operator="equal" dxfId="5">
      <formula>"开发中"</formula>
    </cfRule>
    <cfRule type="cellIs" priority="21" operator="equal" dxfId="10">
      <formula>"已实现"</formula>
    </cfRule>
    <cfRule type="cellIs" priority="22" operator="equal" dxfId="4">
      <formula>"暂缓"</formula>
    </cfRule>
  </conditionalFormatting>
  <dataValidations count="8">
    <dataValidation sqref="D4:D10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10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10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10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10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10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10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10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9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4.3 个人中心自动化测试用例｜密码与会话</t>
        </is>
      </c>
    </row>
    <row r="2" ht="26" customHeight="1">
      <c r="A2" s="12" t="inlineStr">
        <is>
          <t>来源：文档/4-需求文档/4.3 个人中心.md　｜　范围：参数化规则、接口、安全、并发与故障注入　｜　密码与会话：6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76" customHeight="1">
      <c r="A4" s="13" t="inlineStr">
        <is>
          <t>AUT-PC-PWD-001</t>
        </is>
      </c>
      <c r="B4" s="14" t="inlineStr">
        <is>
          <t>密码与会话</t>
        </is>
      </c>
      <c r="C4" s="14" t="inlineStr">
        <is>
          <t>当前密码、新密码策略和确认一致性矩阵</t>
        </is>
      </c>
      <c r="D4" s="13" t="inlineStr">
        <is>
          <t>P1</t>
        </is>
      </c>
      <c r="E4" s="13" t="inlineStr">
        <is>
          <t>API</t>
        </is>
      </c>
      <c r="F4" s="14" t="inlineStr">
        <is>
          <t>账号与当前密码已知</t>
        </is>
      </c>
      <c r="G4" s="14" t="inlineStr">
        <is>
          <t>当前密码空/错；新旧相同；7/8/12/13位；缺字母/数字；非法字符；确认不一致</t>
        </is>
      </c>
      <c r="H4" s="14" t="inlineStr">
        <is>
          <t>1. 按前置数据/Mock创建独立测试数据，并读取操作前基线
2. 将参数化数据逐组执行：参数化提交密码修改
3. 收集接口响应、页面展示及持久化后的个人中心数据
4. 对照断言逐项校验，每组结束后还原Mock并清理测试数据</t>
        </is>
      </c>
      <c r="I4" s="14" t="inlineStr">
        <is>
          <t>非法组合拒绝且密码和会话不变；仅满足8-12位、字母数字及允许字符并确认一致时通过</t>
        </is>
      </c>
      <c r="J4" s="13" t="inlineStr">
        <is>
          <t>api/tests/profile/password-policy.spec.ts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76" customHeight="1">
      <c r="A5" s="13" t="inlineStr">
        <is>
          <t>AUT-PC-PWD-002</t>
        </is>
      </c>
      <c r="B5" s="14" t="inlineStr">
        <is>
          <t>密码与会话</t>
        </is>
      </c>
      <c r="C5" s="14" t="inlineStr">
        <is>
          <t>密码更新与全部会话撤销保持原子</t>
        </is>
      </c>
      <c r="D5" s="13" t="inlineStr">
        <is>
          <t>P0</t>
        </is>
      </c>
      <c r="E5" s="13" t="inlineStr">
        <is>
          <t>API</t>
        </is>
      </c>
      <c r="F5" s="14" t="inlineStr">
        <is>
          <t>账号在多个设备登录，可注入撤销失败</t>
        </is>
      </c>
      <c r="G5" s="14" t="inlineStr">
        <is>
          <t>正常成功；撤销失败</t>
        </is>
      </c>
      <c r="H5" s="14" t="inlineStr">
        <is>
          <t>1. 按前置数据/Mock创建独立测试数据，并读取操作前基线
2. 将参数化数据逐组执行：提交密码修改并验证旧密码、新密码和各会话
3. 收集接口响应、页面展示及持久化后的个人中心数据
4. 对照断言逐项校验，每组结束后还原Mock并清理测试数据</t>
        </is>
      </c>
      <c r="I5" s="14" t="inlineStr">
        <is>
          <t>成功时新密码生效且全部旧会话失效；撤销失败时密码保持原值、会话保持原状态且不返回成功</t>
        </is>
      </c>
      <c r="J5" s="13" t="inlineStr">
        <is>
          <t>api/tests/profile/password-atomicity.spec.ts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76" customHeight="1">
      <c r="A6" s="13" t="inlineStr">
        <is>
          <t>AUT-PC-PWD-003</t>
        </is>
      </c>
      <c r="B6" s="14" t="inlineStr">
        <is>
          <t>密码与会话</t>
        </is>
      </c>
      <c r="C6" s="14" t="inlineStr">
        <is>
          <t>并发修改密码最多产生一个成功结果</t>
        </is>
      </c>
      <c r="D6" s="13" t="inlineStr">
        <is>
          <t>P0</t>
        </is>
      </c>
      <c r="E6" s="13" t="inlineStr">
        <is>
          <t>API</t>
        </is>
      </c>
      <c r="F6" s="14" t="inlineStr">
        <is>
          <t>准备有效密码修改请求</t>
        </is>
      </c>
      <c r="G6" s="14" t="inlineStr">
        <is>
          <t>2/5个相同并发请求</t>
        </is>
      </c>
      <c r="H6" s="14" t="inlineStr">
        <is>
          <t>1. 按前置数据/Mock创建独立测试数据，并读取操作前基线
2. 将参数化数据逐组执行：并发提交
3. 收集接口响应、页面展示及持久化后的个人中心数据
4. 对照断言逐项校验，每组结束后还原Mock并清理测试数据</t>
        </is>
      </c>
      <c r="I6" s="14" t="inlineStr">
        <is>
          <t>最多一个成功；最终密码唯一；旧会话只执行一次账号级撤销；其余返回冲突或旧凭证错误</t>
        </is>
      </c>
      <c r="J6" s="13" t="inlineStr">
        <is>
          <t>api/tests/profile/password-concurrency.spec.ts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76" customHeight="1">
      <c r="A7" s="13" t="inlineStr">
        <is>
          <t>AUT-PC-PWD-004</t>
        </is>
      </c>
      <c r="B7" s="14" t="inlineStr">
        <is>
          <t>密码与会话</t>
        </is>
      </c>
      <c r="C7" s="14" t="inlineStr">
        <is>
          <t>网络或服务失败不改变密码与当前登录</t>
        </is>
      </c>
      <c r="D7" s="13" t="inlineStr">
        <is>
          <t>P0</t>
        </is>
      </c>
      <c r="E7" s="13" t="inlineStr">
        <is>
          <t>混合</t>
        </is>
      </c>
      <c r="F7" s="14" t="inlineStr">
        <is>
          <t>Mock请求超时、500及连接中断</t>
        </is>
      </c>
      <c r="G7" s="14" t="inlineStr">
        <is>
          <t>三种失败</t>
        </is>
      </c>
      <c r="H7" s="14" t="inlineStr">
        <is>
          <t>1. 按前置数据/Mock创建独立测试数据，并读取操作前基线
2. 将参数化数据逐组执行：在弹窗提交并随后访问私有接口
3. 收集接口响应、页面展示及持久化后的个人中心数据
4. 对照断言逐项校验，每组结束后还原Mock并清理测试数据</t>
        </is>
      </c>
      <c r="I7" s="14" t="inlineStr">
        <is>
          <t>页面保留可修正输入并允许重试；密码未改；当前会话仍有效；不错误跳登录</t>
        </is>
      </c>
      <c r="J7" s="13" t="inlineStr">
        <is>
          <t>quiz-web/e2e/profile/password-failure.spec.ts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76" customHeight="1">
      <c r="A8" s="13" t="inlineStr">
        <is>
          <t>AUT-PC-PWD-005</t>
        </is>
      </c>
      <c r="B8" s="14" t="inlineStr">
        <is>
          <t>密码与会话</t>
        </is>
      </c>
      <c r="C8" s="14" t="inlineStr">
        <is>
          <t>密码已成功但跳转失败时仍禁止私有访问</t>
        </is>
      </c>
      <c r="D8" s="13" t="inlineStr">
        <is>
          <t>P0</t>
        </is>
      </c>
      <c r="E8" s="13" t="inlineStr">
        <is>
          <t>混合</t>
        </is>
      </c>
      <c r="F8" s="14" t="inlineStr">
        <is>
          <t>Mock密码修改成功、导航或页面刷新失败</t>
        </is>
      </c>
      <c r="G8" s="14" t="inlineStr">
        <is>
          <t>成功响应后前端跳转失败</t>
        </is>
      </c>
      <c r="H8" s="14" t="inlineStr">
        <is>
          <t>1. 按前置数据/Mock创建独立测试数据，并读取操作前基线
2. 将参数化数据逐组执行：提交后继续触发个人中心请求
3. 收集接口响应、页面展示及持久化后的个人中心数据
4. 对照断言逐项校验，每组结束后还原Mock并清理测试数据</t>
        </is>
      </c>
      <c r="I8" s="14" t="inlineStr">
        <is>
          <t>本地和服务端旧会话均视为失效；不得继续显示或写入私有数据；恢复后进入登录</t>
        </is>
      </c>
      <c r="J8" s="13" t="inlineStr">
        <is>
          <t>quiz-web/e2e/profile/password-navigation-failure.spec.ts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/>
      <c r="Q8" s="15" t="inlineStr"/>
      <c r="R8" s="15" t="inlineStr"/>
    </row>
    <row r="9" ht="76" customHeight="1">
      <c r="A9" s="13" t="inlineStr">
        <is>
          <t>AUT-PC-PWD-006</t>
        </is>
      </c>
      <c r="B9" s="14" t="inlineStr">
        <is>
          <t>密码与会话</t>
        </is>
      </c>
      <c r="C9" s="14" t="inlineStr">
        <is>
          <t>会话失效与普通业务错误严格区分</t>
        </is>
      </c>
      <c r="D9" s="13" t="inlineStr">
        <is>
          <t>P0</t>
        </is>
      </c>
      <c r="E9" s="13" t="inlineStr">
        <is>
          <t>混合</t>
        </is>
      </c>
      <c r="F9" s="14" t="inlineStr">
        <is>
          <t>分别Mock过期/撤销/凭证异常及会员不足/网络错误</t>
        </is>
      </c>
      <c r="G9" s="14" t="inlineStr">
        <is>
          <t>认证失效3组；普通错误2组</t>
        </is>
      </c>
      <c r="H9" s="14" t="inlineStr">
        <is>
          <t>1. 按前置数据/Mock创建独立测试数据，并读取操作前基线
2. 将参数化数据逐组执行：在个人中心触发读取和保存
3. 收集接口响应、页面展示及持久化后的个人中心数据
4. 对照断言逐项校验，每组结束后还原Mock并清理测试数据</t>
        </is>
      </c>
      <c r="I9" s="14" t="inlineStr">
        <is>
          <t>认证失效统一清理并回首页且不循环恢复；普通错误停留当前节点、不清用户状态</t>
        </is>
      </c>
      <c r="J9" s="13" t="inlineStr">
        <is>
          <t>quiz-web/e2e/profile/session-error-isolation.spec.ts</t>
        </is>
      </c>
      <c r="K9" s="15" t="inlineStr">
        <is>
          <t>待实现</t>
        </is>
      </c>
      <c r="L9" s="15" t="inlineStr">
        <is>
          <t>未执行</t>
        </is>
      </c>
      <c r="M9" s="15" t="inlineStr"/>
      <c r="N9" s="15" t="inlineStr"/>
      <c r="O9" s="16" t="inlineStr"/>
      <c r="P9" s="16" t="inlineStr"/>
      <c r="Q9" s="15" t="inlineStr"/>
      <c r="R9" s="15" t="inlineStr"/>
    </row>
  </sheetData>
  <autoFilter ref="A3:R9"/>
  <mergeCells count="2">
    <mergeCell ref="A2:R2"/>
    <mergeCell ref="A1:R1"/>
  </mergeCells>
  <conditionalFormatting sqref="D4:D9">
    <cfRule type="cellIs" priority="1" operator="equal" dxfId="8">
      <formula>"P0"</formula>
    </cfRule>
    <cfRule type="cellIs" priority="2" operator="equal" dxfId="9">
      <formula>"P1"</formula>
    </cfRule>
  </conditionalFormatting>
  <conditionalFormatting sqref="L4:L9">
    <cfRule type="cellIs" priority="3" operator="equal" dxfId="4">
      <formula>"未执行"</formula>
    </cfRule>
    <cfRule type="cellIs" priority="4" operator="equal" dxfId="10">
      <formula>"通过"</formula>
    </cfRule>
    <cfRule type="cellIs" priority="5" operator="equal" dxfId="11">
      <formula>"失败"</formula>
    </cfRule>
    <cfRule type="cellIs" priority="6" operator="equal" dxfId="8">
      <formula>"阻塞"</formula>
    </cfRule>
  </conditionalFormatting>
  <conditionalFormatting sqref="M4:M9">
    <cfRule type="cellIs" priority="7" operator="equal" dxfId="10">
      <formula>"是"</formula>
    </cfRule>
    <cfRule type="cellIs" priority="8" operator="equal" dxfId="11">
      <formula>"否"</formula>
    </cfRule>
  </conditionalFormatting>
  <conditionalFormatting sqref="N4:N9">
    <cfRule type="cellIs" priority="9" operator="equal" dxfId="8">
      <formula>"阻塞"</formula>
    </cfRule>
    <cfRule type="cellIs" priority="10" operator="equal" dxfId="11">
      <formula>"高"</formula>
    </cfRule>
    <cfRule type="cellIs" priority="11" operator="equal" dxfId="9">
      <formula>"中"</formula>
    </cfRule>
    <cfRule type="cellIs" priority="12" operator="equal" dxfId="5">
      <formula>"低"</formula>
    </cfRule>
    <cfRule type="cellIs" priority="13" operator="equal" dxfId="12">
      <formula>"轻微"</formula>
    </cfRule>
  </conditionalFormatting>
  <conditionalFormatting sqref="Q4:Q9">
    <cfRule type="cellIs" priority="14" operator="equal" dxfId="10">
      <formula>"已完成"</formula>
    </cfRule>
    <cfRule type="cellIs" priority="15" operator="equal" dxfId="9">
      <formula>"待讨论"</formula>
    </cfRule>
    <cfRule type="cellIs" priority="16" operator="equal" dxfId="4">
      <formula>"暂不修复"</formula>
    </cfRule>
  </conditionalFormatting>
  <conditionalFormatting sqref="R4:R9">
    <cfRule type="cellIs" priority="17" operator="equal" dxfId="10">
      <formula>"通过"</formula>
    </cfRule>
    <cfRule type="cellIs" priority="18" operator="equal" dxfId="11">
      <formula>"不通过"</formula>
    </cfRule>
  </conditionalFormatting>
  <conditionalFormatting sqref="K4:K9">
    <cfRule type="cellIs" priority="19" operator="equal" dxfId="9">
      <formula>"待实现"</formula>
    </cfRule>
    <cfRule type="cellIs" priority="20" operator="equal" dxfId="5">
      <formula>"开发中"</formula>
    </cfRule>
    <cfRule type="cellIs" priority="21" operator="equal" dxfId="10">
      <formula>"已实现"</formula>
    </cfRule>
    <cfRule type="cellIs" priority="22" operator="equal" dxfId="4">
      <formula>"暂缓"</formula>
    </cfRule>
  </conditionalFormatting>
  <dataValidations count="8">
    <dataValidation sqref="D4:D9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9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9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9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9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9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9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9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9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4.3 个人中心自动化测试用例｜目标偏好</t>
        </is>
      </c>
    </row>
    <row r="2" ht="26" customHeight="1">
      <c r="A2" s="12" t="inlineStr">
        <is>
          <t>来源：文档/4-需求文档/4.3 个人中心.md　｜　范围：参数化规则、接口、安全、并发与故障注入　｜　目标偏好：6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76" customHeight="1">
      <c r="A4" s="13" t="inlineStr">
        <is>
          <t>AUT-PC-GOL-001</t>
        </is>
      </c>
      <c r="B4" s="14" t="inlineStr">
        <is>
          <t>目标偏好</t>
        </is>
      </c>
      <c r="C4" s="14" t="inlineStr">
        <is>
          <t>目标偏好必填项参数矩阵</t>
        </is>
      </c>
      <c r="D4" s="13" t="inlineStr">
        <is>
          <t>P1</t>
        </is>
      </c>
      <c r="E4" s="13" t="inlineStr">
        <is>
          <t>API</t>
        </is>
      </c>
      <c r="F4" s="14" t="inlineStr">
        <is>
          <t>进入目标编辑态</t>
        </is>
      </c>
      <c r="G4" s="14" t="inlineStr">
        <is>
          <t>目标考试/地区/院校/专业/月份分别为空</t>
        </is>
      </c>
      <c r="H4" s="14" t="inlineStr">
        <is>
          <t>1. 按前置数据/Mock创建独立测试数据，并读取操作前基线
2. 将参数化数据逐组执行：参数化保存
3. 收集接口响应、页面展示及持久化后的个人中心数据
4. 对照断言逐项校验，每组结束后还原Mock并清理测试数据</t>
        </is>
      </c>
      <c r="I4" s="14" t="inlineStr">
        <is>
          <t>每个缺失项返回明确校验错误；不形成部分保存；旧正式偏好保持</t>
        </is>
      </c>
      <c r="J4" s="13" t="inlineStr">
        <is>
          <t>api/tests/profile/goal-required.spec.ts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76" customHeight="1">
      <c r="A5" s="13" t="inlineStr">
        <is>
          <t>AUT-PC-GOL-002</t>
        </is>
      </c>
      <c r="B5" s="14" t="inlineStr">
        <is>
          <t>目标偏好</t>
        </is>
      </c>
      <c r="C5" s="14" t="inlineStr">
        <is>
          <t>目标院校数量一至两所边界</t>
        </is>
      </c>
      <c r="D5" s="13" t="inlineStr">
        <is>
          <t>P1</t>
        </is>
      </c>
      <c r="E5" s="13" t="inlineStr">
        <is>
          <t>API</t>
        </is>
      </c>
      <c r="F5" s="14" t="inlineStr">
        <is>
          <t>其他目标字段有效</t>
        </is>
      </c>
      <c r="G5" s="14" t="inlineStr">
        <is>
          <t>0/1/2/3所；重复院校；空白院校</t>
        </is>
      </c>
      <c r="H5" s="14" t="inlineStr">
        <is>
          <t>1. 按前置数据/Mock创建独立测试数据，并读取操作前基线
2. 将参数化数据逐组执行：参数化保存
3. 收集接口响应、页面展示及持久化后的个人中心数据
4. 对照断言逐项校验，每组结束后还原Mock并清理测试数据</t>
        </is>
      </c>
      <c r="I5" s="14" t="inlineStr">
        <is>
          <t>仅合法1-2所保存；超过两所、空白或无院校拒绝；保存顺序稳定</t>
        </is>
      </c>
      <c r="J5" s="13" t="inlineStr">
        <is>
          <t>api/tests/profile/goal-schools.spec.ts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76" customHeight="1">
      <c r="A6" s="13" t="inlineStr">
        <is>
          <t>AUT-PC-GOL-003</t>
        </is>
      </c>
      <c r="B6" s="14" t="inlineStr">
        <is>
          <t>目标偏好</t>
        </is>
      </c>
      <c r="C6" s="14" t="inlineStr">
        <is>
          <t>ESAT科目条件校验与TMUA独立</t>
        </is>
      </c>
      <c r="D6" s="13" t="inlineStr">
        <is>
          <t>P0</t>
        </is>
      </c>
      <c r="E6" s="13" t="inlineStr">
        <is>
          <t>混合</t>
        </is>
      </c>
      <c r="F6" s="14" t="inlineStr">
        <is>
          <t>其他目标字段有效</t>
        </is>
      </c>
      <c r="G6" s="14" t="inlineStr">
        <is>
          <t>仅TMUA无ESAT科目；ESAT科目空；ESAT合法科目；未知科目</t>
        </is>
      </c>
      <c r="H6" s="14" t="inlineStr">
        <is>
          <t>1. 按前置数据/Mock创建独立测试数据，并读取操作前基线
2. 将参数化数据逐组执行：参数化保存并回显
3. 收集接口响应、页面展示及持久化后的个人中心数据
4. 对照断言逐项校验，每组结束后还原Mock并清理测试数据</t>
        </is>
      </c>
      <c r="I6" s="14" t="inlineStr">
        <is>
          <t>仅TMUA不要求ESAT科目；选择ESAT至少一科且仅允许规定科目；未知科目拒绝</t>
        </is>
      </c>
      <c r="J6" s="13" t="inlineStr">
        <is>
          <t>api/tests/profile/goal-exam-subjects.spec.ts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>
        <is>
          <t>当前实现可能错误要求TMUA填写ESAT科目，需优先锁定。</t>
        </is>
      </c>
      <c r="Q6" s="15" t="inlineStr"/>
      <c r="R6" s="15" t="inlineStr"/>
    </row>
    <row r="7" ht="76" customHeight="1">
      <c r="A7" s="13" t="inlineStr">
        <is>
          <t>AUT-PC-GOL-004</t>
        </is>
      </c>
      <c r="B7" s="14" t="inlineStr">
        <is>
          <t>目标偏好</t>
        </is>
      </c>
      <c r="C7" s="14" t="inlineStr">
        <is>
          <t>每周投入时长和考试月份边界</t>
        </is>
      </c>
      <c r="D7" s="13" t="inlineStr">
        <is>
          <t>P1</t>
        </is>
      </c>
      <c r="E7" s="13" t="inlineStr">
        <is>
          <t>API</t>
        </is>
      </c>
      <c r="F7" s="14" t="inlineStr">
        <is>
          <t>其他目标字段有效</t>
        </is>
      </c>
      <c r="G7" s="14" t="inlineStr">
        <is>
          <t>9/10/50/51；小数/字符串；有效月份/过期或未知月份</t>
        </is>
      </c>
      <c r="H7" s="14" t="inlineStr">
        <is>
          <t>1. 按前置数据/Mock创建独立测试数据，并读取操作前基线
2. 将参数化数据逐组执行：参数化保存
3. 收集接口响应、页面展示及持久化后的个人中心数据
4. 对照断言逐项校验，每组结束后还原Mock并清理测试数据</t>
        </is>
      </c>
      <c r="I7" s="14" t="inlineStr">
        <is>
          <t>只接受10-50整数及当前提供月份；非法值不保存且返回字段级错误</t>
        </is>
      </c>
      <c r="J7" s="13" t="inlineStr">
        <is>
          <t>api/tests/profile/goal-plan-boundary.spec.ts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76" customHeight="1">
      <c r="A8" s="13" t="inlineStr">
        <is>
          <t>AUT-PC-GOL-005</t>
        </is>
      </c>
      <c r="B8" s="14" t="inlineStr">
        <is>
          <t>目标偏好</t>
        </is>
      </c>
      <c r="C8" s="14" t="inlineStr">
        <is>
          <t>STEP与历史兼容目标不产生权益</t>
        </is>
      </c>
      <c r="D8" s="13" t="inlineStr">
        <is>
          <t>P0</t>
        </is>
      </c>
      <c r="E8" s="13" t="inlineStr">
        <is>
          <t>API</t>
        </is>
      </c>
      <c r="F8" s="14" t="inlineStr">
        <is>
          <t>准备STEP历史数据并构造新请求</t>
        </is>
      </c>
      <c r="G8" s="14" t="inlineStr">
        <is>
          <t>历史STEP；新选STEP；ESAT+TMUA</t>
        </is>
      </c>
      <c r="H8" s="14" t="inlineStr">
        <is>
          <t>1. 按前置数据/Mock创建独立测试数据，并读取操作前基线
2. 将参数化数据逐组执行：读取、编辑并保存
3. 收集接口响应、页面展示及持久化后的个人中心数据
4. 对照断言逐项校验，每组结束后还原Mock并清理测试数据</t>
        </is>
      </c>
      <c r="I8" s="14" t="inlineStr">
        <is>
          <t>历史STEP可按兼容规则展示但不变为开放考试或会员；新请求不能选择STEP；目标选择不创建权益</t>
        </is>
      </c>
      <c r="J8" s="13" t="inlineStr">
        <is>
          <t>api/tests/profile/goal-step-compat.spec.ts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/>
      <c r="Q8" s="15" t="inlineStr"/>
      <c r="R8" s="15" t="inlineStr"/>
    </row>
    <row r="9" ht="76" customHeight="1">
      <c r="A9" s="13" t="inlineStr">
        <is>
          <t>AUT-PC-GOL-006</t>
        </is>
      </c>
      <c r="B9" s="14" t="inlineStr">
        <is>
          <t>目标偏好</t>
        </is>
      </c>
      <c r="C9" s="14" t="inlineStr">
        <is>
          <t>目标保存、取消、重读失败和并发一致性</t>
        </is>
      </c>
      <c r="D9" s="13" t="inlineStr">
        <is>
          <t>P0</t>
        </is>
      </c>
      <c r="E9" s="13" t="inlineStr">
        <is>
          <t>混合</t>
        </is>
      </c>
      <c r="F9" s="14" t="inlineStr">
        <is>
          <t>存在旧目标，可注入保存/重读失败</t>
        </is>
      </c>
      <c r="G9" s="14" t="inlineStr">
        <is>
          <t>取消；保存失败；保存成功重读失败；2个并发保存</t>
        </is>
      </c>
      <c r="H9" s="14" t="inlineStr">
        <is>
          <t>1. 按前置数据/Mock创建独立测试数据，并读取操作前基线
2. 将参数化数据逐组执行：执行操作并查询正式值、草稿和档案卡
3. 收集接口响应、页面展示及持久化后的个人中心数据
4. 对照断言逐项校验，每组结束后还原Mock并清理测试数据</t>
        </is>
      </c>
      <c r="I9" s="14" t="inlineStr">
        <is>
          <t>取消不写入；失败无部分保存；成功后重读失败不回滚；并发最终仅一个完整版本生效；档案与目标卡最终一致</t>
        </is>
      </c>
      <c r="J9" s="13" t="inlineStr">
        <is>
          <t>api/tests/profile/goal-atomicity.spec.ts</t>
        </is>
      </c>
      <c r="K9" s="15" t="inlineStr">
        <is>
          <t>待实现</t>
        </is>
      </c>
      <c r="L9" s="15" t="inlineStr">
        <is>
          <t>未执行</t>
        </is>
      </c>
      <c r="M9" s="15" t="inlineStr"/>
      <c r="N9" s="15" t="inlineStr"/>
      <c r="O9" s="16" t="inlineStr"/>
      <c r="P9" s="16" t="inlineStr"/>
      <c r="Q9" s="15" t="inlineStr"/>
      <c r="R9" s="15" t="inlineStr"/>
    </row>
  </sheetData>
  <autoFilter ref="A3:R9"/>
  <mergeCells count="2">
    <mergeCell ref="A2:R2"/>
    <mergeCell ref="A1:R1"/>
  </mergeCells>
  <conditionalFormatting sqref="D4:D9">
    <cfRule type="cellIs" priority="1" operator="equal" dxfId="8">
      <formula>"P0"</formula>
    </cfRule>
    <cfRule type="cellIs" priority="2" operator="equal" dxfId="9">
      <formula>"P1"</formula>
    </cfRule>
  </conditionalFormatting>
  <conditionalFormatting sqref="L4:L9">
    <cfRule type="cellIs" priority="3" operator="equal" dxfId="4">
      <formula>"未执行"</formula>
    </cfRule>
    <cfRule type="cellIs" priority="4" operator="equal" dxfId="10">
      <formula>"通过"</formula>
    </cfRule>
    <cfRule type="cellIs" priority="5" operator="equal" dxfId="11">
      <formula>"失败"</formula>
    </cfRule>
    <cfRule type="cellIs" priority="6" operator="equal" dxfId="8">
      <formula>"阻塞"</formula>
    </cfRule>
  </conditionalFormatting>
  <conditionalFormatting sqref="M4:M9">
    <cfRule type="cellIs" priority="7" operator="equal" dxfId="10">
      <formula>"是"</formula>
    </cfRule>
    <cfRule type="cellIs" priority="8" operator="equal" dxfId="11">
      <formula>"否"</formula>
    </cfRule>
  </conditionalFormatting>
  <conditionalFormatting sqref="N4:N9">
    <cfRule type="cellIs" priority="9" operator="equal" dxfId="8">
      <formula>"阻塞"</formula>
    </cfRule>
    <cfRule type="cellIs" priority="10" operator="equal" dxfId="11">
      <formula>"高"</formula>
    </cfRule>
    <cfRule type="cellIs" priority="11" operator="equal" dxfId="9">
      <formula>"中"</formula>
    </cfRule>
    <cfRule type="cellIs" priority="12" operator="equal" dxfId="5">
      <formula>"低"</formula>
    </cfRule>
    <cfRule type="cellIs" priority="13" operator="equal" dxfId="12">
      <formula>"轻微"</formula>
    </cfRule>
  </conditionalFormatting>
  <conditionalFormatting sqref="Q4:Q9">
    <cfRule type="cellIs" priority="14" operator="equal" dxfId="10">
      <formula>"已完成"</formula>
    </cfRule>
    <cfRule type="cellIs" priority="15" operator="equal" dxfId="9">
      <formula>"待讨论"</formula>
    </cfRule>
    <cfRule type="cellIs" priority="16" operator="equal" dxfId="4">
      <formula>"暂不修复"</formula>
    </cfRule>
  </conditionalFormatting>
  <conditionalFormatting sqref="R4:R9">
    <cfRule type="cellIs" priority="17" operator="equal" dxfId="10">
      <formula>"通过"</formula>
    </cfRule>
    <cfRule type="cellIs" priority="18" operator="equal" dxfId="11">
      <formula>"不通过"</formula>
    </cfRule>
  </conditionalFormatting>
  <conditionalFormatting sqref="K4:K9">
    <cfRule type="cellIs" priority="19" operator="equal" dxfId="9">
      <formula>"待实现"</formula>
    </cfRule>
    <cfRule type="cellIs" priority="20" operator="equal" dxfId="5">
      <formula>"开发中"</formula>
    </cfRule>
    <cfRule type="cellIs" priority="21" operator="equal" dxfId="10">
      <formula>"已实现"</formula>
    </cfRule>
    <cfRule type="cellIs" priority="22" operator="equal" dxfId="4">
      <formula>"暂缓"</formula>
    </cfRule>
  </conditionalFormatting>
  <dataValidations count="8">
    <dataValidation sqref="D4:D9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9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9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9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9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9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9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9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7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4.3 个人中心自动化测试用例｜订阅汇总</t>
        </is>
      </c>
    </row>
    <row r="2" ht="26" customHeight="1">
      <c r="A2" s="12" t="inlineStr">
        <is>
          <t>来源：文档/4-需求文档/4.3 个人中心.md　｜　范围：参数化规则、接口、安全、并发与故障注入　｜　订阅汇总：4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76" customHeight="1">
      <c r="A4" s="13" t="inlineStr">
        <is>
          <t>AUT-PC-SUB-001</t>
        </is>
      </c>
      <c r="B4" s="14" t="inlineStr">
        <is>
          <t>订阅汇总</t>
        </is>
      </c>
      <c r="C4" s="14" t="inlineStr">
        <is>
          <t>累计订阅状态计数矩阵</t>
        </is>
      </c>
      <c r="D4" s="13" t="inlineStr">
        <is>
          <t>P0</t>
        </is>
      </c>
      <c r="E4" s="13" t="inlineStr">
        <is>
          <t>API</t>
        </is>
      </c>
      <c r="F4" s="14" t="inlineStr">
        <is>
          <t>准备各支付订单状态</t>
        </is>
      </c>
      <c r="G4" s="14" t="inlineStr">
        <is>
          <t>pending/paid/failed/closed/refunding/refunded</t>
        </is>
      </c>
      <c r="H4" s="14" t="inlineStr">
        <is>
          <t>1. 按前置数据/Mock创建独立测试数据，并读取操作前基线
2. 将参数化数据逐组执行：读取订阅汇总
3. 收集接口响应、页面展示及持久化后的个人中心数据
4. 对照断言逐项校验，每组结束后还原Mock并清理测试数据</t>
        </is>
      </c>
      <c r="I4" s="14" t="inlineStr">
        <is>
          <t>累计订阅仅计paid、refunding、refunded；每个真实订单最多计一次；状态更新后结果同步</t>
        </is>
      </c>
      <c r="J4" s="13" t="inlineStr">
        <is>
          <t>api/tests/profile/subscription-summary.spec.ts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76" customHeight="1">
      <c r="A5" s="13" t="inlineStr">
        <is>
          <t>AUT-PC-SUB-002</t>
        </is>
      </c>
      <c r="B5" s="14" t="inlineStr">
        <is>
          <t>订阅汇总</t>
        </is>
      </c>
      <c r="C5" s="14" t="inlineStr">
        <is>
          <t>当前权益按有效考试会员去重</t>
        </is>
      </c>
      <c r="D5" s="13" t="inlineStr">
        <is>
          <t>P0</t>
        </is>
      </c>
      <c r="E5" s="13" t="inlineStr">
        <is>
          <t>API</t>
        </is>
      </c>
      <c r="F5" s="14" t="inlineStr">
        <is>
          <t>同考试准备多条权益及双考试组合</t>
        </is>
      </c>
      <c r="G5" s="14" t="inlineStr">
        <is>
          <t>active/expired/cancelled；在线购买/后台授权；多条active</t>
        </is>
      </c>
      <c r="H5" s="14" t="inlineStr">
        <is>
          <t>1. 按前置数据/Mock创建独立测试数据，并读取操作前基线
2. 将参数化数据逐组执行：读取当前权益数
3. 收集接口响应、页面展示及持久化后的个人中心数据
4. 对照断言逐项校验，每组结束后还原Mock并清理测试数据</t>
        </is>
      </c>
      <c r="I5" s="14" t="inlineStr">
        <is>
          <t>只计当前有效的考试类型；同考试不重复计数；后台授权计权益；管理员展示不依赖学生会员记录</t>
        </is>
      </c>
      <c r="J5" s="13" t="inlineStr">
        <is>
          <t>api/tests/profile/current-entitlements.spec.ts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76" customHeight="1">
      <c r="A6" s="13" t="inlineStr">
        <is>
          <t>AUT-PC-SUB-003</t>
        </is>
      </c>
      <c r="B6" s="14" t="inlineStr">
        <is>
          <t>订阅汇总</t>
        </is>
      </c>
      <c r="C6" s="14" t="inlineStr">
        <is>
          <t>累计订单与完整列表不按固定50笔截断</t>
        </is>
      </c>
      <c r="D6" s="13" t="inlineStr">
        <is>
          <t>P0</t>
        </is>
      </c>
      <c r="E6" s="13" t="inlineStr">
        <is>
          <t>API</t>
        </is>
      </c>
      <c r="F6" s="14" t="inlineStr">
        <is>
          <t>账号创建0、1、50、51、120笔真实订单</t>
        </is>
      </c>
      <c r="G6" s="14" t="inlineStr">
        <is>
          <t>不同数量及状态</t>
        </is>
      </c>
      <c r="H6" s="14" t="inlineStr">
        <is>
          <t>1. 按前置数据/Mock创建独立测试数据，并读取操作前基线
2. 将参数化数据逐组执行：读取汇总和记录列表
3. 收集接口响应、页面展示及持久化后的个人中心数据
4. 对照断言逐项校验，每组结束后还原Mock并清理测试数据</t>
        </is>
      </c>
      <c r="I6" s="14" t="inlineStr">
        <is>
          <t>累计订单等于全部在线订单；列表不被前端固定50条截断；分页或完整返回规则一致；后台授权不增加订单数</t>
        </is>
      </c>
      <c r="J6" s="13" t="inlineStr">
        <is>
          <t>api/tests/profile/order-count.spec.ts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76" customHeight="1">
      <c r="A7" s="13" t="inlineStr">
        <is>
          <t>AUT-PC-SUB-004</t>
        </is>
      </c>
      <c r="B7" s="14" t="inlineStr">
        <is>
          <t>订阅汇总</t>
        </is>
      </c>
      <c r="C7" s="14" t="inlineStr">
        <is>
          <t>累计实付净额计算与退款状态</t>
        </is>
      </c>
      <c r="D7" s="13" t="inlineStr">
        <is>
          <t>P0</t>
        </is>
      </c>
      <c r="E7" s="13" t="inlineStr">
        <is>
          <t>API</t>
        </is>
      </c>
      <c r="F7" s="14" t="inlineStr">
        <is>
          <t>准备已支付、退款中、已退款、失败订单及金额</t>
        </is>
      </c>
      <c r="G7" s="14" t="inlineStr">
        <is>
          <t>多币分金额组合</t>
        </is>
      </c>
      <c r="H7" s="14" t="inlineStr">
        <is>
          <t>1. 按前置数据/Mock创建独立测试数据，并读取操作前基线
2. 将参数化数据逐组执行：读取累计实付
3. 收集接口响应、页面展示及持久化后的个人中心数据
4. 对照断言逐项校验，每组结束后还原Mock并清理测试数据</t>
        </is>
      </c>
      <c r="I7" s="14" t="inlineStr">
        <is>
          <t>只计成功支付金额并扣除已退款金额；退款中未确认时不提前扣除；失败/待支付/关闭不计；结果不为负</t>
        </is>
      </c>
      <c r="J7" s="13" t="inlineStr">
        <is>
          <t>api/tests/profile/net-paid.spec.ts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</sheetData>
  <autoFilter ref="A3:R7"/>
  <mergeCells count="2">
    <mergeCell ref="A2:R2"/>
    <mergeCell ref="A1:R1"/>
  </mergeCells>
  <conditionalFormatting sqref="D4:D7">
    <cfRule type="cellIs" priority="1" operator="equal" dxfId="8">
      <formula>"P0"</formula>
    </cfRule>
    <cfRule type="cellIs" priority="2" operator="equal" dxfId="9">
      <formula>"P1"</formula>
    </cfRule>
  </conditionalFormatting>
  <conditionalFormatting sqref="L4:L7">
    <cfRule type="cellIs" priority="3" operator="equal" dxfId="4">
      <formula>"未执行"</formula>
    </cfRule>
    <cfRule type="cellIs" priority="4" operator="equal" dxfId="10">
      <formula>"通过"</formula>
    </cfRule>
    <cfRule type="cellIs" priority="5" operator="equal" dxfId="11">
      <formula>"失败"</formula>
    </cfRule>
    <cfRule type="cellIs" priority="6" operator="equal" dxfId="8">
      <formula>"阻塞"</formula>
    </cfRule>
  </conditionalFormatting>
  <conditionalFormatting sqref="M4:M7">
    <cfRule type="cellIs" priority="7" operator="equal" dxfId="10">
      <formula>"是"</formula>
    </cfRule>
    <cfRule type="cellIs" priority="8" operator="equal" dxfId="11">
      <formula>"否"</formula>
    </cfRule>
  </conditionalFormatting>
  <conditionalFormatting sqref="N4:N7">
    <cfRule type="cellIs" priority="9" operator="equal" dxfId="8">
      <formula>"阻塞"</formula>
    </cfRule>
    <cfRule type="cellIs" priority="10" operator="equal" dxfId="11">
      <formula>"高"</formula>
    </cfRule>
    <cfRule type="cellIs" priority="11" operator="equal" dxfId="9">
      <formula>"中"</formula>
    </cfRule>
    <cfRule type="cellIs" priority="12" operator="equal" dxfId="5">
      <formula>"低"</formula>
    </cfRule>
    <cfRule type="cellIs" priority="13" operator="equal" dxfId="12">
      <formula>"轻微"</formula>
    </cfRule>
  </conditionalFormatting>
  <conditionalFormatting sqref="Q4:Q7">
    <cfRule type="cellIs" priority="14" operator="equal" dxfId="10">
      <formula>"已完成"</formula>
    </cfRule>
    <cfRule type="cellIs" priority="15" operator="equal" dxfId="9">
      <formula>"待讨论"</formula>
    </cfRule>
    <cfRule type="cellIs" priority="16" operator="equal" dxfId="4">
      <formula>"暂不修复"</formula>
    </cfRule>
  </conditionalFormatting>
  <conditionalFormatting sqref="R4:R7">
    <cfRule type="cellIs" priority="17" operator="equal" dxfId="10">
      <formula>"通过"</formula>
    </cfRule>
    <cfRule type="cellIs" priority="18" operator="equal" dxfId="11">
      <formula>"不通过"</formula>
    </cfRule>
  </conditionalFormatting>
  <conditionalFormatting sqref="K4:K7">
    <cfRule type="cellIs" priority="19" operator="equal" dxfId="9">
      <formula>"待实现"</formula>
    </cfRule>
    <cfRule type="cellIs" priority="20" operator="equal" dxfId="5">
      <formula>"开发中"</formula>
    </cfRule>
    <cfRule type="cellIs" priority="21" operator="equal" dxfId="10">
      <formula>"已实现"</formula>
    </cfRule>
    <cfRule type="cellIs" priority="22" operator="equal" dxfId="4">
      <formula>"暂缓"</formula>
    </cfRule>
  </conditionalFormatting>
  <dataValidations count="8">
    <dataValidation sqref="D4:D7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7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7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7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7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7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7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7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7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4.3 个人中心自动化测试用例｜支付记录</t>
        </is>
      </c>
    </row>
    <row r="2" ht="26" customHeight="1">
      <c r="A2" s="12" t="inlineStr">
        <is>
          <t>来源：文档/4-需求文档/4.3 个人中心.md　｜　范围：参数化规则、接口、安全、并发与故障注入　｜　支付记录：4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76" customHeight="1">
      <c r="A4" s="13" t="inlineStr">
        <is>
          <t>AUT-PC-PAY-001</t>
        </is>
      </c>
      <c r="B4" s="14" t="inlineStr">
        <is>
          <t>支付记录</t>
        </is>
      </c>
      <c r="C4" s="14" t="inlineStr">
        <is>
          <t>统一筛选状态映射矩阵</t>
        </is>
      </c>
      <c r="D4" s="13" t="inlineStr">
        <is>
          <t>P0</t>
        </is>
      </c>
      <c r="E4" s="13" t="inlineStr">
        <is>
          <t>API</t>
        </is>
      </c>
      <c r="F4" s="14" t="inlineStr">
        <is>
          <t>准备全订单及权益状态</t>
        </is>
      </c>
      <c r="G4" s="14" t="inlineStr">
        <is>
          <t>全部/进行中/已过期/支付失败/退款</t>
        </is>
      </c>
      <c r="H4" s="14" t="inlineStr">
        <is>
          <t>1. 按前置数据/Mock创建独立测试数据，并读取操作前基线
2. 将参数化数据逐组执行：逐筛选读取列表
3. 收集接口响应、页面展示及持久化后的个人中心数据
4. 对照断言逐项校验，每组结束后还原Mock并清理测试数据</t>
        </is>
      </c>
      <c r="I4" s="14" t="inlineStr">
        <is>
          <t>每个订单按4.3/4.9规则进入正确集合；进行中包含有效订阅和待支付；退款中与已退款只进退款；筛选不改状态</t>
        </is>
      </c>
      <c r="J4" s="13" t="inlineStr">
        <is>
          <t>api/tests/profile/payment-filter.spec.ts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76" customHeight="1">
      <c r="A5" s="13" t="inlineStr">
        <is>
          <t>AUT-PC-PAY-002</t>
        </is>
      </c>
      <c r="B5" s="14" t="inlineStr">
        <is>
          <t>支付记录</t>
        </is>
      </c>
      <c r="C5" s="14" t="inlineStr">
        <is>
          <t>创建时间排序、字段缺失与记录来源</t>
        </is>
      </c>
      <c r="D5" s="13" t="inlineStr">
        <is>
          <t>P1</t>
        </is>
      </c>
      <c r="E5" s="13" t="inlineStr">
        <is>
          <t>混合</t>
        </is>
      </c>
      <c r="F5" s="14" t="inlineStr">
        <is>
          <t>准备同时间、缺支付时间、无法匹配权益及后台授权</t>
        </is>
      </c>
      <c r="G5" s="14" t="inlineStr">
        <is>
          <t>升序/降序；paidAt空；membership缺失；授权无订单</t>
        </is>
      </c>
      <c r="H5" s="14" t="inlineStr">
        <is>
          <t>1. 按前置数据/Mock创建独立测试数据，并读取操作前基线
2. 将参数化数据逐组执行：切换排序并检查记录
3. 收集接口响应、页面展示及持久化后的个人中心数据
4. 对照断言逐项校验，每组结束后还原Mock并清理测试数据</t>
        </is>
      </c>
      <c r="I5" s="14" t="inlineStr">
        <is>
          <t>排序稳定；未支付时间和无法匹配周期显示-；后台授权不生成卡片；金额、币种、方式、订单号和状态真实</t>
        </is>
      </c>
      <c r="J5" s="13" t="inlineStr">
        <is>
          <t>quiz-web/e2e/profile/payment-list.spec.ts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76" customHeight="1">
      <c r="A6" s="13" t="inlineStr">
        <is>
          <t>AUT-PC-PAY-003</t>
        </is>
      </c>
      <c r="B6" s="14" t="inlineStr">
        <is>
          <t>支付记录</t>
        </is>
      </c>
      <c r="C6" s="14" t="inlineStr">
        <is>
          <t>订单状态与可执行操作矩阵</t>
        </is>
      </c>
      <c r="D6" s="13" t="inlineStr">
        <is>
          <t>P0</t>
        </is>
      </c>
      <c r="E6" s="13" t="inlineStr">
        <is>
          <t>混合</t>
        </is>
      </c>
      <c r="F6" s="14" t="inlineStr">
        <is>
          <t>准备待支付、失败、关闭、已支付无权益、有效订阅、退款中、已退款</t>
        </is>
      </c>
      <c r="G6" s="14" t="inlineStr">
        <is>
          <t>各状态记录</t>
        </is>
      </c>
      <c r="H6" s="14" t="inlineStr">
        <is>
          <t>1. 按前置数据/Mock创建独立测试数据，并读取操作前基线
2. 将参数化数据逐组执行：加载列表并尝试操作
3. 收集接口响应、页面展示及持久化后的个人中心数据
4. 对照断言逐项校验，每组结束后还原Mock并清理测试数据</t>
        </is>
      </c>
      <c r="I6" s="14" t="inlineStr">
        <is>
          <t>仅显示继续支付、重新支付、再次订阅、续费等对应操作；退款中/已退款不提供改变退款结果的操作；管理员无学生购买操作</t>
        </is>
      </c>
      <c r="J6" s="13" t="inlineStr">
        <is>
          <t>quiz-web/e2e/profile/payment-actions.spec.ts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76" customHeight="1">
      <c r="A7" s="13" t="inlineStr">
        <is>
          <t>AUT-PC-PAY-004</t>
        </is>
      </c>
      <c r="B7" s="14" t="inlineStr">
        <is>
          <t>支付记录</t>
        </is>
      </c>
      <c r="C7" s="14" t="inlineStr">
        <is>
          <t>支付操作恢复原订单并保持页面上下文</t>
        </is>
      </c>
      <c r="D7" s="13" t="inlineStr">
        <is>
          <t>P0</t>
        </is>
      </c>
      <c r="E7" s="13" t="inlineStr">
        <is>
          <t>混合</t>
        </is>
      </c>
      <c r="F7" s="14" t="inlineStr">
        <is>
          <t>存在筛选、排序和目标待支付订单</t>
        </is>
      </c>
      <c r="G7" s="14" t="inlineStr">
        <is>
          <t>待支付有效/已过期/已关闭；支付成功/失败/关闭</t>
        </is>
      </c>
      <c r="H7" s="14" t="inlineStr">
        <is>
          <t>1. 按前置数据/Mock创建独立测试数据，并读取操作前基线
2. 将参数化数据逐组执行：点击继续或重新支付并返回个人中心
3. 收集接口响应、页面展示及持久化后的个人中心数据
4. 对照断言逐项校验，每组结束后还原Mock并清理测试数据</t>
        </is>
      </c>
      <c r="I7" s="14" t="inlineStr">
        <is>
          <t>有效待支付恢复原订单和二维码；过期关闭转重新购买；成功刷新权益汇总列表；失败关闭保留筛选排序且不发放权益</t>
        </is>
      </c>
      <c r="J7" s="13" t="inlineStr">
        <is>
          <t>quiz-web/e2e/profile/payment-resume.spec.ts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</sheetData>
  <autoFilter ref="A3:R7"/>
  <mergeCells count="2">
    <mergeCell ref="A2:R2"/>
    <mergeCell ref="A1:R1"/>
  </mergeCells>
  <conditionalFormatting sqref="D4:D7">
    <cfRule type="cellIs" priority="1" operator="equal" dxfId="8">
      <formula>"P0"</formula>
    </cfRule>
    <cfRule type="cellIs" priority="2" operator="equal" dxfId="9">
      <formula>"P1"</formula>
    </cfRule>
  </conditionalFormatting>
  <conditionalFormatting sqref="L4:L7">
    <cfRule type="cellIs" priority="3" operator="equal" dxfId="4">
      <formula>"未执行"</formula>
    </cfRule>
    <cfRule type="cellIs" priority="4" operator="equal" dxfId="10">
      <formula>"通过"</formula>
    </cfRule>
    <cfRule type="cellIs" priority="5" operator="equal" dxfId="11">
      <formula>"失败"</formula>
    </cfRule>
    <cfRule type="cellIs" priority="6" operator="equal" dxfId="8">
      <formula>"阻塞"</formula>
    </cfRule>
  </conditionalFormatting>
  <conditionalFormatting sqref="M4:M7">
    <cfRule type="cellIs" priority="7" operator="equal" dxfId="10">
      <formula>"是"</formula>
    </cfRule>
    <cfRule type="cellIs" priority="8" operator="equal" dxfId="11">
      <formula>"否"</formula>
    </cfRule>
  </conditionalFormatting>
  <conditionalFormatting sqref="N4:N7">
    <cfRule type="cellIs" priority="9" operator="equal" dxfId="8">
      <formula>"阻塞"</formula>
    </cfRule>
    <cfRule type="cellIs" priority="10" operator="equal" dxfId="11">
      <formula>"高"</formula>
    </cfRule>
    <cfRule type="cellIs" priority="11" operator="equal" dxfId="9">
      <formula>"中"</formula>
    </cfRule>
    <cfRule type="cellIs" priority="12" operator="equal" dxfId="5">
      <formula>"低"</formula>
    </cfRule>
    <cfRule type="cellIs" priority="13" operator="equal" dxfId="12">
      <formula>"轻微"</formula>
    </cfRule>
  </conditionalFormatting>
  <conditionalFormatting sqref="Q4:Q7">
    <cfRule type="cellIs" priority="14" operator="equal" dxfId="10">
      <formula>"已完成"</formula>
    </cfRule>
    <cfRule type="cellIs" priority="15" operator="equal" dxfId="9">
      <formula>"待讨论"</formula>
    </cfRule>
    <cfRule type="cellIs" priority="16" operator="equal" dxfId="4">
      <formula>"暂不修复"</formula>
    </cfRule>
  </conditionalFormatting>
  <conditionalFormatting sqref="R4:R7">
    <cfRule type="cellIs" priority="17" operator="equal" dxfId="10">
      <formula>"通过"</formula>
    </cfRule>
    <cfRule type="cellIs" priority="18" operator="equal" dxfId="11">
      <formula>"不通过"</formula>
    </cfRule>
  </conditionalFormatting>
  <conditionalFormatting sqref="K4:K7">
    <cfRule type="cellIs" priority="19" operator="equal" dxfId="9">
      <formula>"待实现"</formula>
    </cfRule>
    <cfRule type="cellIs" priority="20" operator="equal" dxfId="5">
      <formula>"开发中"</formula>
    </cfRule>
    <cfRule type="cellIs" priority="21" operator="equal" dxfId="10">
      <formula>"已实现"</formula>
    </cfRule>
    <cfRule type="cellIs" priority="22" operator="equal" dxfId="4">
      <formula>"暂缓"</formula>
    </cfRule>
  </conditionalFormatting>
  <dataValidations count="8">
    <dataValidation sqref="D4:D7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7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7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7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7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7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7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7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6808A"/>
    <outlinePr summaryBelow="1" summaryRight="1"/>
    <pageSetUpPr fitToPage="1"/>
  </sheetPr>
  <dimension ref="A1:R9"/>
  <sheetViews>
    <sheetView showGridLines="0" zoomScale="75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9" customWidth="1" min="4" max="4"/>
    <col width="13" customWidth="1" min="5" max="5"/>
    <col width="30" customWidth="1" min="6" max="6"/>
    <col width="42" customWidth="1" min="7" max="7"/>
    <col width="44" customWidth="1" min="8" max="8"/>
    <col width="46" customWidth="1" min="9" max="9"/>
    <col width="42" customWidth="1" min="10" max="10"/>
    <col width="12" customWidth="1" min="11" max="11"/>
    <col width="12" customWidth="1" min="12" max="12"/>
    <col width="10" customWidth="1" min="13" max="13"/>
    <col width="11" customWidth="1" min="14" max="14"/>
    <col width="34" customWidth="1" min="15" max="15"/>
    <col width="28" customWidth="1" min="16" max="16"/>
    <col width="13" customWidth="1" min="17" max="17"/>
    <col width="11" customWidth="1" min="18" max="18"/>
  </cols>
  <sheetData>
    <row r="1" ht="36" customHeight="1">
      <c r="A1" s="1" t="inlineStr">
        <is>
          <t>4.3 个人中心自动化测试用例｜局部失败与一致性</t>
        </is>
      </c>
    </row>
    <row r="2" ht="26" customHeight="1">
      <c r="A2" s="12" t="inlineStr">
        <is>
          <t>来源：文档/4-需求文档/4.3 个人中心.md　｜　范围：参数化规则、接口、安全、并发与故障注入　｜　局部失败与一致性：6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自动化层级</t>
        </is>
      </c>
      <c r="F3" s="7" t="inlineStr">
        <is>
          <t>前置数据/Mock</t>
        </is>
      </c>
      <c r="G3" s="7" t="inlineStr">
        <is>
          <t>参数化测试数据</t>
        </is>
      </c>
      <c r="H3" s="7" t="inlineStr">
        <is>
          <t>自动化步骤</t>
        </is>
      </c>
      <c r="I3" s="7" t="inlineStr">
        <is>
          <t>断言</t>
        </is>
      </c>
      <c r="J3" s="7" t="inlineStr">
        <is>
          <t>建议脚本路径</t>
        </is>
      </c>
      <c r="K3" s="7" t="inlineStr">
        <is>
          <t>脚本状态</t>
        </is>
      </c>
      <c r="L3" s="7" t="inlineStr">
        <is>
          <t>执行状态</t>
        </is>
      </c>
      <c r="M3" s="7" t="inlineStr">
        <is>
          <t>是否通过</t>
        </is>
      </c>
      <c r="N3" s="7" t="inlineStr">
        <is>
          <t>缺陷等级</t>
        </is>
      </c>
      <c r="O3" s="7" t="inlineStr">
        <is>
          <t>实际结果</t>
        </is>
      </c>
      <c r="P3" s="7" t="inlineStr">
        <is>
          <t>备注</t>
        </is>
      </c>
      <c r="Q3" s="7" t="inlineStr">
        <is>
          <t>修复情况</t>
        </is>
      </c>
      <c r="R3" s="7" t="inlineStr">
        <is>
          <t>回归情况</t>
        </is>
      </c>
    </row>
    <row r="4" ht="76" customHeight="1">
      <c r="A4" s="13" t="inlineStr">
        <is>
          <t>AUT-PC-REC-001</t>
        </is>
      </c>
      <c r="B4" s="14" t="inlineStr">
        <is>
          <t>局部失败与一致性</t>
        </is>
      </c>
      <c r="C4" s="14" t="inlineStr">
        <is>
          <t>账号、权益、统计、网络和交易并行加载隔离</t>
        </is>
      </c>
      <c r="D4" s="13" t="inlineStr">
        <is>
          <t>P0</t>
        </is>
      </c>
      <c r="E4" s="13" t="inlineStr">
        <is>
          <t>混合</t>
        </is>
      </c>
      <c r="F4" s="14" t="inlineStr">
        <is>
          <t>分别Mock五个区域成功、慢响应和失败</t>
        </is>
      </c>
      <c r="G4" s="14" t="inlineStr">
        <is>
          <t>单区失败/多区失败/乱序返回</t>
        </is>
      </c>
      <c r="H4" s="14" t="inlineStr">
        <is>
          <t>1. 按前置数据/Mock创建独立测试数据，并读取操作前基线
2. 将参数化数据逐组执行：进入页面并等待各请求
3. 收集接口响应、页面展示及持久化后的个人中心数据
4. 对照断言逐项校验，每组结束后还原Mock并清理测试数据</t>
        </is>
      </c>
      <c r="I4" s="14" t="inlineStr">
        <is>
          <t>每区独立加载与失败；成功数据不被空值覆盖；失败不会清除其他区域；乱序响应不产生跨区域覆盖</t>
        </is>
      </c>
      <c r="J4" s="13" t="inlineStr">
        <is>
          <t>quiz-web/e2e/profile/partial-load.spec.ts</t>
        </is>
      </c>
      <c r="K4" s="15" t="inlineStr">
        <is>
          <t>待实现</t>
        </is>
      </c>
      <c r="L4" s="15" t="inlineStr">
        <is>
          <t>未执行</t>
        </is>
      </c>
      <c r="M4" s="15" t="inlineStr"/>
      <c r="N4" s="15" t="inlineStr"/>
      <c r="O4" s="16" t="inlineStr"/>
      <c r="P4" s="16" t="inlineStr"/>
      <c r="Q4" s="15" t="inlineStr"/>
      <c r="R4" s="15" t="inlineStr"/>
    </row>
    <row r="5" ht="76" customHeight="1">
      <c r="A5" s="13" t="inlineStr">
        <is>
          <t>AUT-PC-REC-002</t>
        </is>
      </c>
      <c r="B5" s="14" t="inlineStr">
        <is>
          <t>局部失败与一致性</t>
        </is>
      </c>
      <c r="C5" s="14" t="inlineStr">
        <is>
          <t>重新加载只替换失败区域</t>
        </is>
      </c>
      <c r="D5" s="13" t="inlineStr">
        <is>
          <t>P0</t>
        </is>
      </c>
      <c r="E5" s="13" t="inlineStr">
        <is>
          <t>混合</t>
        </is>
      </c>
      <c r="F5" s="14" t="inlineStr">
        <is>
          <t>一个区域失败，其余区域成功并存在用户交互状态</t>
        </is>
      </c>
      <c r="G5" s="14" t="inlineStr">
        <is>
          <t>交易失败；会员失败；统计失败</t>
        </is>
      </c>
      <c r="H5" s="14" t="inlineStr">
        <is>
          <t>1. 按前置数据/Mock创建独立测试数据，并读取操作前基线
2. 将参数化数据逐组执行：点击对应重试
3. 收集接口响应、页面展示及持久化后的个人中心数据
4. 对照断言逐项校验，每组结束后还原Mock并清理测试数据</t>
        </is>
      </c>
      <c r="I5" s="14" t="inlineStr">
        <is>
          <t>只重新请求并替换失败区域；不重置当前考试、目标草稿、交易筛选或已保存资料；不自动执行操作</t>
        </is>
      </c>
      <c r="J5" s="13" t="inlineStr">
        <is>
          <t>quiz-web/e2e/profile/partial-retry.spec.ts</t>
        </is>
      </c>
      <c r="K5" s="15" t="inlineStr">
        <is>
          <t>待实现</t>
        </is>
      </c>
      <c r="L5" s="15" t="inlineStr">
        <is>
          <t>未执行</t>
        </is>
      </c>
      <c r="M5" s="15" t="inlineStr"/>
      <c r="N5" s="15" t="inlineStr"/>
      <c r="O5" s="16" t="inlineStr"/>
      <c r="P5" s="16" t="inlineStr"/>
      <c r="Q5" s="15" t="inlineStr"/>
      <c r="R5" s="15" t="inlineStr"/>
    </row>
    <row r="6" ht="76" customHeight="1">
      <c r="A6" s="13" t="inlineStr">
        <is>
          <t>AUT-PC-REC-003</t>
        </is>
      </c>
      <c r="B6" s="14" t="inlineStr">
        <is>
          <t>局部失败与一致性</t>
        </is>
      </c>
      <c r="C6" s="14" t="inlineStr">
        <is>
          <t>目标、邮箱和支付成功后的局部刷新</t>
        </is>
      </c>
      <c r="D6" s="13" t="inlineStr">
        <is>
          <t>P0</t>
        </is>
      </c>
      <c r="E6" s="13" t="inlineStr">
        <is>
          <t>混合</t>
        </is>
      </c>
      <c r="F6" s="14" t="inlineStr">
        <is>
          <t>监控各区域请求次数</t>
        </is>
      </c>
      <c r="G6" s="14" t="inlineStr">
        <is>
          <t>目标保存/邮箱保存/支付成功</t>
        </is>
      </c>
      <c r="H6" s="14" t="inlineStr">
        <is>
          <t>1. 按前置数据/Mock创建独立测试数据，并读取操作前基线
2. 将参数化数据逐组执行：分别完成操作
3. 收集接口响应、页面展示及持久化后的个人中心数据
4. 对照断言逐项校验，每组结束后还原Mock并清理测试数据</t>
        </is>
      </c>
      <c r="I6" s="14" t="inlineStr">
        <is>
          <t>只刷新受影响区域及必要依赖；其他区域请求和状态保持；支付成功同时更新方案、权益、汇总和记录</t>
        </is>
      </c>
      <c r="J6" s="13" t="inlineStr">
        <is>
          <t>quiz-web/e2e/profile/targeted-refresh.spec.ts</t>
        </is>
      </c>
      <c r="K6" s="15" t="inlineStr">
        <is>
          <t>待实现</t>
        </is>
      </c>
      <c r="L6" s="15" t="inlineStr">
        <is>
          <t>未执行</t>
        </is>
      </c>
      <c r="M6" s="15" t="inlineStr"/>
      <c r="N6" s="15" t="inlineStr"/>
      <c r="O6" s="16" t="inlineStr"/>
      <c r="P6" s="16" t="inlineStr"/>
      <c r="Q6" s="15" t="inlineStr"/>
      <c r="R6" s="15" t="inlineStr"/>
    </row>
    <row r="7" ht="76" customHeight="1">
      <c r="A7" s="13" t="inlineStr">
        <is>
          <t>AUT-PC-REC-004</t>
        </is>
      </c>
      <c r="B7" s="14" t="inlineStr">
        <is>
          <t>局部失败与一致性</t>
        </is>
      </c>
      <c r="C7" s="14" t="inlineStr">
        <is>
          <t>支付成功但页面刷新失败不回滚真实结果</t>
        </is>
      </c>
      <c r="D7" s="13" t="inlineStr">
        <is>
          <t>P0</t>
        </is>
      </c>
      <c r="E7" s="13" t="inlineStr">
        <is>
          <t>混合</t>
        </is>
      </c>
      <c r="F7" s="14" t="inlineStr">
        <is>
          <t>Mock支付履约成功、个人中心刷新失败</t>
        </is>
      </c>
      <c r="G7" s="14" t="inlineStr">
        <is>
          <t>支付成功后会员或交易接口失败</t>
        </is>
      </c>
      <c r="H7" s="14" t="inlineStr">
        <is>
          <t>1. 按前置数据/Mock创建独立测试数据，并读取操作前基线
2. 将参数化数据逐组执行：完成支付并重载页面
3. 收集接口响应、页面展示及持久化后的个人中心数据
4. 对照断言逐项校验，每组结束后还原Mock并清理测试数据</t>
        </is>
      </c>
      <c r="I7" s="14" t="inlineStr">
        <is>
          <t>不显示支付失败或撤回权益；失败区域给重试；重新加载后显示服务端真实已支付和权益状态</t>
        </is>
      </c>
      <c r="J7" s="13" t="inlineStr">
        <is>
          <t>quiz-web/e2e/profile/payment-refresh-failure.spec.ts</t>
        </is>
      </c>
      <c r="K7" s="15" t="inlineStr">
        <is>
          <t>待实现</t>
        </is>
      </c>
      <c r="L7" s="15" t="inlineStr">
        <is>
          <t>未执行</t>
        </is>
      </c>
      <c r="M7" s="15" t="inlineStr"/>
      <c r="N7" s="15" t="inlineStr"/>
      <c r="O7" s="16" t="inlineStr"/>
      <c r="P7" s="16" t="inlineStr"/>
      <c r="Q7" s="15" t="inlineStr"/>
      <c r="R7" s="15" t="inlineStr"/>
    </row>
    <row r="8" ht="76" customHeight="1">
      <c r="A8" s="13" t="inlineStr">
        <is>
          <t>AUT-PC-REC-005</t>
        </is>
      </c>
      <c r="B8" s="14" t="inlineStr">
        <is>
          <t>局部失败与一致性</t>
        </is>
      </c>
      <c r="C8" s="14" t="inlineStr">
        <is>
          <t>权益、角色与内容变化只影响对应范围</t>
        </is>
      </c>
      <c r="D8" s="13" t="inlineStr">
        <is>
          <t>P0</t>
        </is>
      </c>
      <c r="E8" s="13" t="inlineStr">
        <is>
          <t>API</t>
        </is>
      </c>
      <c r="F8" s="14" t="inlineStr">
        <is>
          <t>准备双考试、进行中任务、历史结果及角色变化</t>
        </is>
      </c>
      <c r="G8" s="14" t="inlineStr">
        <is>
          <t>会员到期/取消/授权；学生转管理员；STEP历史</t>
        </is>
      </c>
      <c r="H8" s="14" t="inlineStr">
        <is>
          <t>1. 按前置数据/Mock创建独立测试数据，并读取操作前基线
2. 将参数化数据逐组执行：读取个人中心并触发新操作
3. 收集接口响应、页面展示及持久化后的个人中心数据
4. 对照断言逐项校验，每组结束后还原Mock并清理测试数据</t>
        </is>
      </c>
      <c r="I8" s="14" t="inlineStr">
        <is>
          <t>只更新对应考试；新操作用最新权限；进行中和历史不删除；管理员不购买；STEP不开放</t>
        </is>
      </c>
      <c r="J8" s="13" t="inlineStr">
        <is>
          <t>api/tests/profile/context-change.spec.ts</t>
        </is>
      </c>
      <c r="K8" s="15" t="inlineStr">
        <is>
          <t>待实现</t>
        </is>
      </c>
      <c r="L8" s="15" t="inlineStr">
        <is>
          <t>未执行</t>
        </is>
      </c>
      <c r="M8" s="15" t="inlineStr"/>
      <c r="N8" s="15" t="inlineStr"/>
      <c r="O8" s="16" t="inlineStr"/>
      <c r="P8" s="16" t="inlineStr"/>
      <c r="Q8" s="15" t="inlineStr"/>
      <c r="R8" s="15" t="inlineStr"/>
    </row>
    <row r="9" ht="76" customHeight="1">
      <c r="A9" s="13" t="inlineStr">
        <is>
          <t>AUT-PC-REC-006</t>
        </is>
      </c>
      <c r="B9" s="14" t="inlineStr">
        <is>
          <t>局部失败与一致性</t>
        </is>
      </c>
      <c r="C9" s="14" t="inlineStr">
        <is>
          <t>私有写入防越权、防重复与错误隔离</t>
        </is>
      </c>
      <c r="D9" s="13" t="inlineStr">
        <is>
          <t>P0</t>
        </is>
      </c>
      <c r="E9" s="13" t="inlineStr">
        <is>
          <t>API</t>
        </is>
      </c>
      <c r="F9" s="14" t="inlineStr">
        <is>
          <t>准备其他用户ID、重复请求和普通业务失败</t>
        </is>
      </c>
      <c r="G9" s="14" t="inlineStr">
        <is>
          <t>邮箱/密码/目标/支付写入；并发2/5次；网络/会员不足</t>
        </is>
      </c>
      <c r="H9" s="14" t="inlineStr">
        <is>
          <t>1. 按前置数据/Mock创建独立测试数据，并读取操作前基线
2. 将参数化数据逐组执行：构造越权或重复请求
3. 收集接口响应、页面展示及持久化后的个人中心数据
4. 对照断言逐项校验，每组结束后还原Mock并清理测试数据</t>
        </is>
      </c>
      <c r="I9" s="14" t="inlineStr">
        <is>
          <t>服务端拒绝他人数据写入；重复操作最多一个业务结果；普通错误不撤销会话；认证失效后所有写入统一停止</t>
        </is>
      </c>
      <c r="J9" s="13" t="inlineStr">
        <is>
          <t>api/tests/profile/write-security.spec.ts</t>
        </is>
      </c>
      <c r="K9" s="15" t="inlineStr">
        <is>
          <t>待实现</t>
        </is>
      </c>
      <c r="L9" s="15" t="inlineStr">
        <is>
          <t>未执行</t>
        </is>
      </c>
      <c r="M9" s="15" t="inlineStr"/>
      <c r="N9" s="15" t="inlineStr"/>
      <c r="O9" s="16" t="inlineStr"/>
      <c r="P9" s="16" t="inlineStr"/>
      <c r="Q9" s="15" t="inlineStr"/>
      <c r="R9" s="15" t="inlineStr"/>
    </row>
  </sheetData>
  <autoFilter ref="A3:R9"/>
  <mergeCells count="2">
    <mergeCell ref="A2:R2"/>
    <mergeCell ref="A1:R1"/>
  </mergeCells>
  <conditionalFormatting sqref="D4:D9">
    <cfRule type="cellIs" priority="1" operator="equal" dxfId="8">
      <formula>"P0"</formula>
    </cfRule>
    <cfRule type="cellIs" priority="2" operator="equal" dxfId="9">
      <formula>"P1"</formula>
    </cfRule>
  </conditionalFormatting>
  <conditionalFormatting sqref="L4:L9">
    <cfRule type="cellIs" priority="3" operator="equal" dxfId="4">
      <formula>"未执行"</formula>
    </cfRule>
    <cfRule type="cellIs" priority="4" operator="equal" dxfId="10">
      <formula>"通过"</formula>
    </cfRule>
    <cfRule type="cellIs" priority="5" operator="equal" dxfId="11">
      <formula>"失败"</formula>
    </cfRule>
    <cfRule type="cellIs" priority="6" operator="equal" dxfId="8">
      <formula>"阻塞"</formula>
    </cfRule>
  </conditionalFormatting>
  <conditionalFormatting sqref="M4:M9">
    <cfRule type="cellIs" priority="7" operator="equal" dxfId="10">
      <formula>"是"</formula>
    </cfRule>
    <cfRule type="cellIs" priority="8" operator="equal" dxfId="11">
      <formula>"否"</formula>
    </cfRule>
  </conditionalFormatting>
  <conditionalFormatting sqref="N4:N9">
    <cfRule type="cellIs" priority="9" operator="equal" dxfId="8">
      <formula>"阻塞"</formula>
    </cfRule>
    <cfRule type="cellIs" priority="10" operator="equal" dxfId="11">
      <formula>"高"</formula>
    </cfRule>
    <cfRule type="cellIs" priority="11" operator="equal" dxfId="9">
      <formula>"中"</formula>
    </cfRule>
    <cfRule type="cellIs" priority="12" operator="equal" dxfId="5">
      <formula>"低"</formula>
    </cfRule>
    <cfRule type="cellIs" priority="13" operator="equal" dxfId="12">
      <formula>"轻微"</formula>
    </cfRule>
  </conditionalFormatting>
  <conditionalFormatting sqref="Q4:Q9">
    <cfRule type="cellIs" priority="14" operator="equal" dxfId="10">
      <formula>"已完成"</formula>
    </cfRule>
    <cfRule type="cellIs" priority="15" operator="equal" dxfId="9">
      <formula>"待讨论"</formula>
    </cfRule>
    <cfRule type="cellIs" priority="16" operator="equal" dxfId="4">
      <formula>"暂不修复"</formula>
    </cfRule>
  </conditionalFormatting>
  <conditionalFormatting sqref="R4:R9">
    <cfRule type="cellIs" priority="17" operator="equal" dxfId="10">
      <formula>"通过"</formula>
    </cfRule>
    <cfRule type="cellIs" priority="18" operator="equal" dxfId="11">
      <formula>"不通过"</formula>
    </cfRule>
  </conditionalFormatting>
  <conditionalFormatting sqref="K4:K9">
    <cfRule type="cellIs" priority="19" operator="equal" dxfId="9">
      <formula>"待实现"</formula>
    </cfRule>
    <cfRule type="cellIs" priority="20" operator="equal" dxfId="5">
      <formula>"开发中"</formula>
    </cfRule>
    <cfRule type="cellIs" priority="21" operator="equal" dxfId="10">
      <formula>"已实现"</formula>
    </cfRule>
    <cfRule type="cellIs" priority="22" operator="equal" dxfId="4">
      <formula>"暂缓"</formula>
    </cfRule>
  </conditionalFormatting>
  <dataValidations count="8">
    <dataValidation sqref="D4:D9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9" showDropDown="0" showInputMessage="1" showErrorMessage="1" allowBlank="1" errorTitle="选项无效" error="请从下拉列表中选择。" promptTitle="请选择" prompt="选择自动化层级" type="list" errorStyle="stop">
      <formula1>"API,UI,混合"</formula1>
    </dataValidation>
    <dataValidation sqref="K4:K9" showDropDown="0" showInputMessage="1" showErrorMessage="1" allowBlank="1" errorTitle="选项无效" error="请从下拉列表中选择。" promptTitle="请选择" prompt="选择脚本状态" type="list" errorStyle="stop">
      <formula1>"待实现,开发中,已实现,暂缓"</formula1>
    </dataValidation>
    <dataValidation sqref="L4:L9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M4:M9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N4:N9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Q4:Q9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R4:R9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2026-08-09T07:35:29Z</dcterms:created>
  <dcterms:modified xmlns:dcterms="http://purl.org/dc/terms/" xmlns:xsi="http://www.w3.org/2001/XMLSchema-instance" xsi:type="dcterms:W3CDTF">2026-08-09T07:50:56Z</dcterms:modified>
</cp:coreProperties>
</file>