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说明" sheetId="1" state="visible" r:id="rId1"/>
    <sheet xmlns:r="http://schemas.openxmlformats.org/officeDocument/2006/relationships" name="登录" sheetId="2" state="visible" r:id="rId2"/>
    <sheet xmlns:r="http://schemas.openxmlformats.org/officeDocument/2006/relationships" name="注册" sheetId="3" state="visible" r:id="rId3"/>
    <sheet xmlns:r="http://schemas.openxmlformats.org/officeDocument/2006/relationships" name="邮箱验证码" sheetId="4" state="visible" r:id="rId4"/>
    <sheet xmlns:r="http://schemas.openxmlformats.org/officeDocument/2006/relationships" name="忘记密码" sheetId="5" state="visible" r:id="rId5"/>
    <sheet xmlns:r="http://schemas.openxmlformats.org/officeDocument/2006/relationships" name="会话与退出" sheetId="6" state="visible" r:id="rId6"/>
    <sheet xmlns:r="http://schemas.openxmlformats.org/officeDocument/2006/relationships" name="权限与安全回跳" sheetId="7" state="visible" r:id="rId7"/>
  </sheets>
  <definedNames>
    <definedName name="_xlnm._FilterDatabase" localSheetId="1" hidden="1">'登录'!$A$3:$R$9</definedName>
    <definedName name="_xlnm.Print_Titles" localSheetId="1">'登录'!$1:$3</definedName>
    <definedName name="_xlnm._FilterDatabase" localSheetId="2" hidden="1">'注册'!$A$3:$R$14</definedName>
    <definedName name="_xlnm.Print_Titles" localSheetId="2">'注册'!$1:$3</definedName>
    <definedName name="_xlnm._FilterDatabase" localSheetId="3" hidden="1">'邮箱验证码'!$A$3:$R$10</definedName>
    <definedName name="_xlnm.Print_Titles" localSheetId="3">'邮箱验证码'!$1:$3</definedName>
    <definedName name="_xlnm._FilterDatabase" localSheetId="4" hidden="1">'忘记密码'!$A$3:$R$8</definedName>
    <definedName name="_xlnm.Print_Titles" localSheetId="4">'忘记密码'!$1:$3</definedName>
    <definedName name="_xlnm._FilterDatabase" localSheetId="5" hidden="1">'会话与退出'!$A$3:$R$8</definedName>
    <definedName name="_xlnm.Print_Titles" localSheetId="5">'会话与退出'!$1:$3</definedName>
    <definedName name="_xlnm._FilterDatabase" localSheetId="6" hidden="1">'权限与安全回跳'!$A$3:$R$8</definedName>
    <definedName name="_xlnm.Print_Titles" localSheetId="6">'权限与安全回跳'!$1:$3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color rgb="000F4C5C"/>
      <sz val="10"/>
    </font>
    <font>
      <name val="Microsoft YaHei"/>
      <b val="1"/>
      <color rgb="00FFFFFF"/>
      <sz val="10"/>
    </font>
    <font>
      <name val="Microsoft YaHei"/>
      <color rgb="001F2937"/>
      <sz val="10"/>
    </font>
    <font>
      <name val="Microsoft YaHei"/>
      <b val="1"/>
      <color rgb="00FFFFFF"/>
      <sz val="12"/>
    </font>
    <font>
      <name val="Microsoft YaHei"/>
      <b val="1"/>
      <color rgb="001F2937"/>
      <sz val="10"/>
    </font>
    <font>
      <name val="Microsoft YaHei"/>
      <b val="1"/>
      <color rgb="000F4C5C"/>
      <sz val="10"/>
    </font>
  </fonts>
  <fills count="7">
    <fill>
      <patternFill/>
    </fill>
    <fill>
      <patternFill patternType="gray125"/>
    </fill>
    <fill>
      <patternFill patternType="solid">
        <fgColor rgb="000F4C5C"/>
      </patternFill>
    </fill>
    <fill>
      <patternFill patternType="solid">
        <fgColor rgb="00D9EEF0"/>
      </patternFill>
    </fill>
    <fill>
      <patternFill patternType="solid">
        <fgColor rgb="0016808A"/>
      </patternFill>
    </fill>
    <fill>
      <patternFill patternType="solid">
        <fgColor rgb="00F5F8FB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bottom style="thin">
        <color rgb="00D5DC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vertical="center" wrapText="1"/>
    </xf>
    <xf numFmtId="164" fontId="4" fillId="5" borderId="0" applyAlignment="1" pivotButton="0" quotePrefix="0" xfId="0">
      <alignment vertical="center" wrapText="1"/>
    </xf>
    <xf numFmtId="0" fontId="5" fillId="2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0" pivotButton="0" quotePrefix="0" xfId="0"/>
    <xf numFmtId="0" fontId="4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9">
    <dxf>
      <font>
        <b val="1"/>
        <color rgb="009C0006"/>
      </font>
      <fill>
        <patternFill patternType="solid">
          <fgColor rgb="00FFEB9C"/>
        </patternFill>
      </fill>
    </dxf>
    <dxf>
      <font>
        <b val="1"/>
        <color rgb="001F4E78"/>
      </font>
      <fill>
        <patternFill patternType="solid">
          <fgColor rgb="00DDEBF7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DDEBF7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_a_lgn" displayName="tbl_a_lgn" ref="A3:R9" headerRowCount="1">
  <autoFilter ref="A3:R9"/>
  <tableColumns count="18">
    <tableColumn id="1" name="用例编号"/>
    <tableColumn id="2" name="功能模块"/>
    <tableColumn id="3" name="用例标题"/>
    <tableColumn id="4" name="优先级"/>
    <tableColumn id="5" name="自动化层级"/>
    <tableColumn id="6" name="前置数据/Mock"/>
    <tableColumn id="7" name="参数化测试数据"/>
    <tableColumn id="8" name="自动化步骤"/>
    <tableColumn id="9" name="断言"/>
    <tableColumn id="10" name="建议脚本路径"/>
    <tableColumn id="11" name="脚本状态"/>
    <tableColumn id="12" name="执行状态"/>
    <tableColumn id="13" name="是否通过"/>
    <tableColumn id="14" name="缺陷等级"/>
    <tableColumn id="15" name="实际结果"/>
    <tableColumn id="16" name="备注"/>
    <tableColumn id="17" name="修复情况"/>
    <tableColumn id="18" name="回归情况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tbl_a_reg" displayName="tbl_a_reg" ref="A3:R14" headerRowCount="1">
  <autoFilter ref="A3:R14"/>
  <tableColumns count="18">
    <tableColumn id="1" name="用例编号"/>
    <tableColumn id="2" name="功能模块"/>
    <tableColumn id="3" name="用例标题"/>
    <tableColumn id="4" name="优先级"/>
    <tableColumn id="5" name="自动化层级"/>
    <tableColumn id="6" name="前置数据/Mock"/>
    <tableColumn id="7" name="参数化测试数据"/>
    <tableColumn id="8" name="自动化步骤"/>
    <tableColumn id="9" name="断言"/>
    <tableColumn id="10" name="建议脚本路径"/>
    <tableColumn id="11" name="脚本状态"/>
    <tableColumn id="12" name="执行状态"/>
    <tableColumn id="13" name="是否通过"/>
    <tableColumn id="14" name="缺陷等级"/>
    <tableColumn id="15" name="实际结果"/>
    <tableColumn id="16" name="备注"/>
    <tableColumn id="17" name="修复情况"/>
    <tableColumn id="18" name="回归情况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tbl_a_eml" displayName="tbl_a_eml" ref="A3:R10" headerRowCount="1">
  <autoFilter ref="A3:R10"/>
  <tableColumns count="18">
    <tableColumn id="1" name="用例编号"/>
    <tableColumn id="2" name="功能模块"/>
    <tableColumn id="3" name="用例标题"/>
    <tableColumn id="4" name="优先级"/>
    <tableColumn id="5" name="自动化层级"/>
    <tableColumn id="6" name="前置数据/Mock"/>
    <tableColumn id="7" name="参数化测试数据"/>
    <tableColumn id="8" name="自动化步骤"/>
    <tableColumn id="9" name="断言"/>
    <tableColumn id="10" name="建议脚本路径"/>
    <tableColumn id="11" name="脚本状态"/>
    <tableColumn id="12" name="执行状态"/>
    <tableColumn id="13" name="是否通过"/>
    <tableColumn id="14" name="缺陷等级"/>
    <tableColumn id="15" name="实际结果"/>
    <tableColumn id="16" name="备注"/>
    <tableColumn id="17" name="修复情况"/>
    <tableColumn id="18" name="回归情况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tbl_a_rst" displayName="tbl_a_rst" ref="A3:R8" headerRowCount="1">
  <autoFilter ref="A3:R8"/>
  <tableColumns count="18">
    <tableColumn id="1" name="用例编号"/>
    <tableColumn id="2" name="功能模块"/>
    <tableColumn id="3" name="用例标题"/>
    <tableColumn id="4" name="优先级"/>
    <tableColumn id="5" name="自动化层级"/>
    <tableColumn id="6" name="前置数据/Mock"/>
    <tableColumn id="7" name="参数化测试数据"/>
    <tableColumn id="8" name="自动化步骤"/>
    <tableColumn id="9" name="断言"/>
    <tableColumn id="10" name="建议脚本路径"/>
    <tableColumn id="11" name="脚本状态"/>
    <tableColumn id="12" name="执行状态"/>
    <tableColumn id="13" name="是否通过"/>
    <tableColumn id="14" name="缺陷等级"/>
    <tableColumn id="15" name="实际结果"/>
    <tableColumn id="16" name="备注"/>
    <tableColumn id="17" name="修复情况"/>
    <tableColumn id="18" name="回归情况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tbl_a_ses" displayName="tbl_a_ses" ref="A3:R8" headerRowCount="1">
  <autoFilter ref="A3:R8"/>
  <tableColumns count="18">
    <tableColumn id="1" name="用例编号"/>
    <tableColumn id="2" name="功能模块"/>
    <tableColumn id="3" name="用例标题"/>
    <tableColumn id="4" name="优先级"/>
    <tableColumn id="5" name="自动化层级"/>
    <tableColumn id="6" name="前置数据/Mock"/>
    <tableColumn id="7" name="参数化测试数据"/>
    <tableColumn id="8" name="自动化步骤"/>
    <tableColumn id="9" name="断言"/>
    <tableColumn id="10" name="建议脚本路径"/>
    <tableColumn id="11" name="脚本状态"/>
    <tableColumn id="12" name="执行状态"/>
    <tableColumn id="13" name="是否通过"/>
    <tableColumn id="14" name="缺陷等级"/>
    <tableColumn id="15" name="实际结果"/>
    <tableColumn id="16" name="备注"/>
    <tableColumn id="17" name="修复情况"/>
    <tableColumn id="18" name="回归情况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tbl_a_acl" displayName="tbl_a_acl" ref="A3:R8" headerRowCount="1">
  <autoFilter ref="A3:R8"/>
  <tableColumns count="18">
    <tableColumn id="1" name="用例编号"/>
    <tableColumn id="2" name="功能模块"/>
    <tableColumn id="3" name="用例标题"/>
    <tableColumn id="4" name="优先级"/>
    <tableColumn id="5" name="自动化层级"/>
    <tableColumn id="6" name="前置数据/Mock"/>
    <tableColumn id="7" name="参数化测试数据"/>
    <tableColumn id="8" name="自动化步骤"/>
    <tableColumn id="9" name="断言"/>
    <tableColumn id="10" name="建议脚本路径"/>
    <tableColumn id="11" name="脚本状态"/>
    <tableColumn id="12" name="执行状态"/>
    <tableColumn id="13" name="是否通过"/>
    <tableColumn id="14" name="缺陷等级"/>
    <tableColumn id="15" name="实际结果"/>
    <tableColumn id="16" name="备注"/>
    <tableColumn id="17" name="修复情况"/>
    <tableColumn id="18" name="回归情况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tabColor rgb="0016808A"/>
    <outlinePr summaryBelow="1" summaryRight="1"/>
    <pageSetUpPr fitToPage="1"/>
  </sheetPr>
  <dimension ref="A1:I23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</cols>
  <sheetData>
    <row r="1" ht="38" customHeight="1">
      <c r="A1" s="1" t="inlineStr">
        <is>
          <t>4.4 登录注册自动化测试用例</t>
        </is>
      </c>
    </row>
    <row r="2" ht="30" customHeight="1">
      <c r="A2" s="2" t="inlineStr">
        <is>
          <t>用于参数化、接口、安全、限流、时间和并发校验；一条逻辑用例可展开为多条自动化测试数据。</t>
        </is>
      </c>
    </row>
    <row r="4">
      <c r="A4" s="3" t="inlineStr">
        <is>
          <t>文档版本</t>
        </is>
      </c>
      <c r="B4" s="4" t="inlineStr">
        <is>
          <t>V1.2</t>
        </is>
      </c>
      <c r="D4" s="3" t="inlineStr">
        <is>
          <t>生成日期</t>
        </is>
      </c>
      <c r="E4" s="5" t="n">
        <v>46243</v>
      </c>
      <c r="G4" s="3" t="inlineStr">
        <is>
          <t>用例总数</t>
        </is>
      </c>
      <c r="H4" s="4">
        <f>SUM(B10:B15)</f>
        <v/>
      </c>
    </row>
    <row r="5">
      <c r="A5" s="3" t="inlineStr">
        <is>
          <t>需求来源</t>
        </is>
      </c>
      <c r="B5" s="4" t="inlineStr">
        <is>
          <t>文档/4-需求文档/4.4 登录注册.md</t>
        </is>
      </c>
      <c r="G5" s="3" t="inlineStr">
        <is>
          <t>默认状态</t>
        </is>
      </c>
      <c r="H5" s="4" t="inlineStr">
        <is>
          <t>待实现 / 未执行</t>
        </is>
      </c>
    </row>
    <row r="6">
      <c r="A6" s="3" t="inlineStr">
        <is>
          <t>执行原则</t>
        </is>
      </c>
      <c r="B6" s="4" t="inlineStr">
        <is>
          <t>优先API，其次UI；使用Mock、假时钟和隔离测试数据。</t>
        </is>
      </c>
    </row>
    <row r="8">
      <c r="A8" s="6" t="inlineStr">
        <is>
          <t>模块覆盖统计</t>
        </is>
      </c>
    </row>
    <row r="9">
      <c r="A9" s="7" t="inlineStr">
        <is>
          <t>模块</t>
        </is>
      </c>
      <c r="B9" s="7" t="inlineStr">
        <is>
          <t>用例数</t>
        </is>
      </c>
      <c r="C9" s="7" t="inlineStr">
        <is>
          <t>P0</t>
        </is>
      </c>
      <c r="D9" s="7" t="inlineStr">
        <is>
          <t>P1</t>
        </is>
      </c>
      <c r="E9" s="7" t="inlineStr">
        <is>
          <t>API</t>
        </is>
      </c>
      <c r="F9" s="7" t="inlineStr">
        <is>
          <t>UI</t>
        </is>
      </c>
      <c r="G9" s="7" t="inlineStr">
        <is>
          <t>混合</t>
        </is>
      </c>
      <c r="H9" s="7" t="inlineStr">
        <is>
          <t>待实现</t>
        </is>
      </c>
      <c r="I9" s="7" t="inlineStr">
        <is>
          <t>已实现</t>
        </is>
      </c>
    </row>
    <row r="10">
      <c r="A10" s="8" t="inlineStr">
        <is>
          <t>登录</t>
        </is>
      </c>
      <c r="B10" s="8">
        <f>COUNTA('登录'!$A$4:$A$9)</f>
        <v/>
      </c>
      <c r="C10" s="8">
        <f>COUNTIF('登录'!$D$4:$D$9,"P0")</f>
        <v/>
      </c>
      <c r="D10" s="8">
        <f>COUNTIF('登录'!$D$4:$D$9,"P1")</f>
        <v/>
      </c>
      <c r="E10" s="8">
        <f>COUNTIF('登录'!$E$4:$E$9,"API")</f>
        <v/>
      </c>
      <c r="F10" s="8">
        <f>COUNTIF('登录'!$E$4:$E$9,"UI")</f>
        <v/>
      </c>
      <c r="G10" s="8">
        <f>COUNTIF('登录'!$E$4:$E$9,"混合")</f>
        <v/>
      </c>
      <c r="H10" s="8">
        <f>COUNTIF('登录'!$K$4:$K$9,"待实现")</f>
        <v/>
      </c>
      <c r="I10" s="8">
        <f>COUNTIF('登录'!$K$4:$K$9,"已实现")</f>
        <v/>
      </c>
    </row>
    <row r="11">
      <c r="A11" s="8" t="inlineStr">
        <is>
          <t>注册</t>
        </is>
      </c>
      <c r="B11" s="8">
        <f>COUNTA('注册'!$A$4:$A$14)</f>
        <v/>
      </c>
      <c r="C11" s="8">
        <f>COUNTIF('注册'!$D$4:$D$14,"P0")</f>
        <v/>
      </c>
      <c r="D11" s="8">
        <f>COUNTIF('注册'!$D$4:$D$14,"P1")</f>
        <v/>
      </c>
      <c r="E11" s="8">
        <f>COUNTIF('注册'!$E$4:$E$14,"API")</f>
        <v/>
      </c>
      <c r="F11" s="8">
        <f>COUNTIF('注册'!$E$4:$E$14,"UI")</f>
        <v/>
      </c>
      <c r="G11" s="8">
        <f>COUNTIF('注册'!$E$4:$E$14,"混合")</f>
        <v/>
      </c>
      <c r="H11" s="8">
        <f>COUNTIF('注册'!$K$4:$K$14,"待实现")</f>
        <v/>
      </c>
      <c r="I11" s="8">
        <f>COUNTIF('注册'!$K$4:$K$14,"已实现")</f>
        <v/>
      </c>
    </row>
    <row r="12">
      <c r="A12" s="8" t="inlineStr">
        <is>
          <t>邮箱验证码</t>
        </is>
      </c>
      <c r="B12" s="8">
        <f>COUNTA('邮箱验证码'!$A$4:$A$10)</f>
        <v/>
      </c>
      <c r="C12" s="8">
        <f>COUNTIF('邮箱验证码'!$D$4:$D$10,"P0")</f>
        <v/>
      </c>
      <c r="D12" s="8">
        <f>COUNTIF('邮箱验证码'!$D$4:$D$10,"P1")</f>
        <v/>
      </c>
      <c r="E12" s="8">
        <f>COUNTIF('邮箱验证码'!$E$4:$E$10,"API")</f>
        <v/>
      </c>
      <c r="F12" s="8">
        <f>COUNTIF('邮箱验证码'!$E$4:$E$10,"UI")</f>
        <v/>
      </c>
      <c r="G12" s="8">
        <f>COUNTIF('邮箱验证码'!$E$4:$E$10,"混合")</f>
        <v/>
      </c>
      <c r="H12" s="8">
        <f>COUNTIF('邮箱验证码'!$K$4:$K$10,"待实现")</f>
        <v/>
      </c>
      <c r="I12" s="8">
        <f>COUNTIF('邮箱验证码'!$K$4:$K$10,"已实现")</f>
        <v/>
      </c>
    </row>
    <row r="13">
      <c r="A13" s="8" t="inlineStr">
        <is>
          <t>忘记密码</t>
        </is>
      </c>
      <c r="B13" s="8">
        <f>COUNTA('忘记密码'!$A$4:$A$8)</f>
        <v/>
      </c>
      <c r="C13" s="8">
        <f>COUNTIF('忘记密码'!$D$4:$D$8,"P0")</f>
        <v/>
      </c>
      <c r="D13" s="8">
        <f>COUNTIF('忘记密码'!$D$4:$D$8,"P1")</f>
        <v/>
      </c>
      <c r="E13" s="8">
        <f>COUNTIF('忘记密码'!$E$4:$E$8,"API")</f>
        <v/>
      </c>
      <c r="F13" s="8">
        <f>COUNTIF('忘记密码'!$E$4:$E$8,"UI")</f>
        <v/>
      </c>
      <c r="G13" s="8">
        <f>COUNTIF('忘记密码'!$E$4:$E$8,"混合")</f>
        <v/>
      </c>
      <c r="H13" s="8">
        <f>COUNTIF('忘记密码'!$K$4:$K$8,"待实现")</f>
        <v/>
      </c>
      <c r="I13" s="8">
        <f>COUNTIF('忘记密码'!$K$4:$K$8,"已实现")</f>
        <v/>
      </c>
    </row>
    <row r="14">
      <c r="A14" s="8" t="inlineStr">
        <is>
          <t>会话与退出</t>
        </is>
      </c>
      <c r="B14" s="8">
        <f>COUNTA('会话与退出'!$A$4:$A$8)</f>
        <v/>
      </c>
      <c r="C14" s="8">
        <f>COUNTIF('会话与退出'!$D$4:$D$8,"P0")</f>
        <v/>
      </c>
      <c r="D14" s="8">
        <f>COUNTIF('会话与退出'!$D$4:$D$8,"P1")</f>
        <v/>
      </c>
      <c r="E14" s="8">
        <f>COUNTIF('会话与退出'!$E$4:$E$8,"API")</f>
        <v/>
      </c>
      <c r="F14" s="8">
        <f>COUNTIF('会话与退出'!$E$4:$E$8,"UI")</f>
        <v/>
      </c>
      <c r="G14" s="8">
        <f>COUNTIF('会话与退出'!$E$4:$E$8,"混合")</f>
        <v/>
      </c>
      <c r="H14" s="8">
        <f>COUNTIF('会话与退出'!$K$4:$K$8,"待实现")</f>
        <v/>
      </c>
      <c r="I14" s="8">
        <f>COUNTIF('会话与退出'!$K$4:$K$8,"已实现")</f>
        <v/>
      </c>
    </row>
    <row r="15">
      <c r="A15" s="8" t="inlineStr">
        <is>
          <t>权限与安全回跳</t>
        </is>
      </c>
      <c r="B15" s="8">
        <f>COUNTA('权限与安全回跳'!$A$4:$A$8)</f>
        <v/>
      </c>
      <c r="C15" s="8">
        <f>COUNTIF('权限与安全回跳'!$D$4:$D$8,"P0")</f>
        <v/>
      </c>
      <c r="D15" s="8">
        <f>COUNTIF('权限与安全回跳'!$D$4:$D$8,"P1")</f>
        <v/>
      </c>
      <c r="E15" s="8">
        <f>COUNTIF('权限与安全回跳'!$E$4:$E$8,"API")</f>
        <v/>
      </c>
      <c r="F15" s="8">
        <f>COUNTIF('权限与安全回跳'!$E$4:$E$8,"UI")</f>
        <v/>
      </c>
      <c r="G15" s="8">
        <f>COUNTIF('权限与安全回跳'!$E$4:$E$8,"混合")</f>
        <v/>
      </c>
      <c r="H15" s="8">
        <f>COUNTIF('权限与安全回跳'!$K$4:$K$8,"待实现")</f>
        <v/>
      </c>
      <c r="I15" s="8">
        <f>COUNTIF('权限与安全回跳'!$K$4:$K$8,"已实现")</f>
        <v/>
      </c>
    </row>
    <row r="16">
      <c r="A16" s="9" t="inlineStr">
        <is>
          <t>合计</t>
        </is>
      </c>
      <c r="B16" s="9">
        <f>SUM(B10:B15)</f>
        <v/>
      </c>
      <c r="C16" s="9">
        <f>SUM(C10:C15)</f>
        <v/>
      </c>
      <c r="D16" s="9">
        <f>SUM(D10:D15)</f>
        <v/>
      </c>
      <c r="E16" s="9">
        <f>SUM(E10:E15)</f>
        <v/>
      </c>
      <c r="F16" s="9">
        <f>SUM(F10:F15)</f>
        <v/>
      </c>
      <c r="G16" s="9">
        <f>SUM(G10:G15)</f>
        <v/>
      </c>
      <c r="H16" s="9">
        <f>SUM(H10:H15)</f>
        <v/>
      </c>
      <c r="I16" s="9">
        <f>SUM(I10:I15)</f>
        <v/>
      </c>
    </row>
    <row r="18">
      <c r="A18" s="6" t="inlineStr">
        <is>
          <t>使用说明</t>
        </is>
      </c>
    </row>
    <row r="19" ht="30" customHeight="1">
      <c r="A19" s="10" t="inlineStr">
        <is>
          <t>自动化层级</t>
        </is>
      </c>
      <c r="B19" s="11" t="inlineStr">
        <is>
          <t>API用于规则、状态与安全断言；UI用于交互；混合用于前后端共同验证。</t>
        </is>
      </c>
    </row>
    <row r="20" ht="30" customHeight="1">
      <c r="A20" s="10" t="inlineStr">
        <is>
          <t>参数化数据</t>
        </is>
      </c>
      <c r="B20" s="11" t="inlineStr">
        <is>
          <t>表内用分号或斜杠列出数据组，落地脚本时展开为独立test.each数据。</t>
        </is>
      </c>
    </row>
    <row r="21" ht="30" customHeight="1">
      <c r="A21" s="10" t="inlineStr">
        <is>
          <t>建议路径</t>
        </is>
      </c>
      <c r="B21" s="11" t="inlineStr">
        <is>
          <t>仅为目标目录规划，不代表仓库中已经存在对应测试框架或脚本。</t>
        </is>
      </c>
    </row>
    <row r="22" ht="30" customHeight="1">
      <c r="A22" s="10" t="inlineStr">
        <is>
          <t>时间与并发</t>
        </is>
      </c>
      <c r="B22" s="11" t="inlineStr">
        <is>
          <t>验证码有效期、七天会话、限流使用假时钟或可控服务时间，不进行真实长时间等待。</t>
        </is>
      </c>
    </row>
    <row r="23" ht="30" customHeight="1">
      <c r="A23" s="10" t="inlineStr">
        <is>
          <t>脚本状态</t>
        </is>
      </c>
      <c r="B23" s="11" t="inlineStr">
        <is>
          <t>初始为待实现；代码完成后改为已实现，再记录自动化执行结果。</t>
        </is>
      </c>
    </row>
  </sheetData>
  <mergeCells count="15">
    <mergeCell ref="E4:F4"/>
    <mergeCell ref="B21:I21"/>
    <mergeCell ref="A2:I2"/>
    <mergeCell ref="B6:I6"/>
    <mergeCell ref="B20:I20"/>
    <mergeCell ref="B5:F5"/>
    <mergeCell ref="A1:I1"/>
    <mergeCell ref="A18:I18"/>
    <mergeCell ref="H5:I5"/>
    <mergeCell ref="A8:I8"/>
    <mergeCell ref="B19:I19"/>
    <mergeCell ref="H4:I4"/>
    <mergeCell ref="B22:I22"/>
    <mergeCell ref="B23:I23"/>
    <mergeCell ref="B4:C4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16808A"/>
    <outlinePr summaryBelow="1" summaryRight="1"/>
    <pageSetUpPr fitToPage="1"/>
  </sheetPr>
  <dimension ref="A1:R9"/>
  <sheetViews>
    <sheetView showGridLines="0" zoomScale="75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34" customWidth="1" min="3" max="3"/>
    <col width="9" customWidth="1" min="4" max="4"/>
    <col width="13" customWidth="1" min="5" max="5"/>
    <col width="30" customWidth="1" min="6" max="6"/>
    <col width="42" customWidth="1" min="7" max="7"/>
    <col width="44" customWidth="1" min="8" max="8"/>
    <col width="46" customWidth="1" min="9" max="9"/>
    <col width="42" customWidth="1" min="10" max="10"/>
    <col width="12" customWidth="1" min="11" max="11"/>
    <col width="12" customWidth="1" min="12" max="12"/>
    <col width="10" customWidth="1" min="13" max="13"/>
    <col width="11" customWidth="1" min="14" max="14"/>
    <col width="34" customWidth="1" min="15" max="15"/>
    <col width="28" customWidth="1" min="16" max="16"/>
    <col width="13" customWidth="1" min="17" max="17"/>
    <col width="11" customWidth="1" min="18" max="18"/>
  </cols>
  <sheetData>
    <row r="1" ht="36" customHeight="1">
      <c r="A1" s="1" t="inlineStr">
        <is>
          <t>4.4 登录注册自动化测试用例｜登录</t>
        </is>
      </c>
    </row>
    <row r="2" ht="26" customHeight="1">
      <c r="A2" s="12" t="inlineStr">
        <is>
          <t>来源：文档/4-需求文档/4.4 登录注册.md　｜　范围：参数化校验、接口规则、安全与并发场景　｜　登录：6 条</t>
        </is>
      </c>
    </row>
    <row r="3" ht="34" customHeight="1">
      <c r="A3" s="7" t="inlineStr">
        <is>
          <t>用例编号</t>
        </is>
      </c>
      <c r="B3" s="7" t="inlineStr">
        <is>
          <t>功能模块</t>
        </is>
      </c>
      <c r="C3" s="7" t="inlineStr">
        <is>
          <t>用例标题</t>
        </is>
      </c>
      <c r="D3" s="7" t="inlineStr">
        <is>
          <t>优先级</t>
        </is>
      </c>
      <c r="E3" s="7" t="inlineStr">
        <is>
          <t>自动化层级</t>
        </is>
      </c>
      <c r="F3" s="7" t="inlineStr">
        <is>
          <t>前置数据/Mock</t>
        </is>
      </c>
      <c r="G3" s="7" t="inlineStr">
        <is>
          <t>参数化测试数据</t>
        </is>
      </c>
      <c r="H3" s="7" t="inlineStr">
        <is>
          <t>自动化步骤</t>
        </is>
      </c>
      <c r="I3" s="7" t="inlineStr">
        <is>
          <t>断言</t>
        </is>
      </c>
      <c r="J3" s="7" t="inlineStr">
        <is>
          <t>建议脚本路径</t>
        </is>
      </c>
      <c r="K3" s="7" t="inlineStr">
        <is>
          <t>脚本状态</t>
        </is>
      </c>
      <c r="L3" s="7" t="inlineStr">
        <is>
          <t>执行状态</t>
        </is>
      </c>
      <c r="M3" s="7" t="inlineStr">
        <is>
          <t>是否通过</t>
        </is>
      </c>
      <c r="N3" s="7" t="inlineStr">
        <is>
          <t>缺陷等级</t>
        </is>
      </c>
      <c r="O3" s="7" t="inlineStr">
        <is>
          <t>实际结果</t>
        </is>
      </c>
      <c r="P3" s="7" t="inlineStr">
        <is>
          <t>备注</t>
        </is>
      </c>
      <c r="Q3" s="7" t="inlineStr">
        <is>
          <t>修复情况</t>
        </is>
      </c>
      <c r="R3" s="7" t="inlineStr">
        <is>
          <t>回归情况</t>
        </is>
      </c>
    </row>
    <row r="4" ht="96" customHeight="1">
      <c r="A4" s="13" t="inlineStr">
        <is>
          <t>AUT-LGN-001</t>
        </is>
      </c>
      <c r="B4" s="14" t="inlineStr">
        <is>
          <t>字段校验</t>
        </is>
      </c>
      <c r="C4" s="14" t="inlineStr">
        <is>
          <t>登录账号与密码必填组合</t>
        </is>
      </c>
      <c r="D4" s="13" t="inlineStr">
        <is>
          <t>P0</t>
        </is>
      </c>
      <c r="E4" s="13" t="inlineStr">
        <is>
          <t>UI</t>
        </is>
      </c>
      <c r="F4" s="14" t="inlineStr">
        <is>
          <t>清空登录表单</t>
        </is>
      </c>
      <c r="G4" s="14" t="inlineStr">
        <is>
          <t>账号空/密码空/两者都空/协议未勾选</t>
        </is>
      </c>
      <c r="H4" s="14" t="inlineStr">
        <is>
          <t>参数化填充后点击登录</t>
        </is>
      </c>
      <c r="I4" s="14" t="inlineStr">
        <is>
          <t>对应字段提示；无认证请求或请求被前端拦截；登录态不变</t>
        </is>
      </c>
      <c r="J4" s="13" t="inlineStr">
        <is>
          <t>quiz-web/e2e/auth/login-validation.spec.ts</t>
        </is>
      </c>
      <c r="K4" s="15" t="inlineStr">
        <is>
          <t>待实现</t>
        </is>
      </c>
      <c r="L4" s="15" t="inlineStr">
        <is>
          <t>未执行</t>
        </is>
      </c>
      <c r="M4" s="15" t="inlineStr"/>
      <c r="N4" s="15" t="inlineStr"/>
      <c r="O4" s="16" t="inlineStr"/>
      <c r="P4" s="16" t="inlineStr"/>
      <c r="Q4" s="15" t="inlineStr"/>
      <c r="R4" s="15" t="inlineStr"/>
    </row>
    <row r="5" ht="96" customHeight="1">
      <c r="A5" s="13" t="inlineStr">
        <is>
          <t>AUT-LGN-002</t>
        </is>
      </c>
      <c r="B5" s="14" t="inlineStr">
        <is>
          <t>邮箱规范化</t>
        </is>
      </c>
      <c r="C5" s="14" t="inlineStr">
        <is>
          <t>邮箱首尾空格与大小写规范化</t>
        </is>
      </c>
      <c r="D5" s="13" t="inlineStr">
        <is>
          <t>P1</t>
        </is>
      </c>
      <c r="E5" s="13" t="inlineStr">
        <is>
          <t>API</t>
        </is>
      </c>
      <c r="F5" s="14" t="inlineStr">
        <is>
          <t>存在邮箱qa.student@example.com的账号</t>
        </is>
      </c>
      <c r="G5" s="14" t="inlineStr">
        <is>
          <t>QA.Student@Example.COM；前后空格；混合大小写</t>
        </is>
      </c>
      <c r="H5" s="14" t="inlineStr">
        <is>
          <t>逐组调用登录接口</t>
        </is>
      </c>
      <c r="I5" s="14" t="inlineStr">
        <is>
          <t>均识别同一账号并返回成功；服务端不创建新账号</t>
        </is>
      </c>
      <c r="J5" s="13" t="inlineStr">
        <is>
          <t>api/tests/auth/login.spec.ts</t>
        </is>
      </c>
      <c r="K5" s="15" t="inlineStr">
        <is>
          <t>待实现</t>
        </is>
      </c>
      <c r="L5" s="15" t="inlineStr">
        <is>
          <t>未执行</t>
        </is>
      </c>
      <c r="M5" s="15" t="inlineStr"/>
      <c r="N5" s="15" t="inlineStr"/>
      <c r="O5" s="16" t="inlineStr"/>
      <c r="P5" s="16" t="inlineStr"/>
      <c r="Q5" s="15" t="inlineStr"/>
      <c r="R5" s="15" t="inlineStr"/>
    </row>
    <row r="6" ht="96" customHeight="1">
      <c r="A6" s="13" t="inlineStr">
        <is>
          <t>AUT-LGN-003</t>
        </is>
      </c>
      <c r="B6" s="14" t="inlineStr">
        <is>
          <t>统一错误</t>
        </is>
      </c>
      <c r="C6" s="14" t="inlineStr">
        <is>
          <t>不存在账号和错误密码返回统一错误</t>
        </is>
      </c>
      <c r="D6" s="13" t="inlineStr">
        <is>
          <t>P0</t>
        </is>
      </c>
      <c r="E6" s="13" t="inlineStr">
        <is>
          <t>API</t>
        </is>
      </c>
      <c r="F6" s="14" t="inlineStr">
        <is>
          <t>存在一个有效账号</t>
        </is>
      </c>
      <c r="G6" s="14" t="inlineStr">
        <is>
          <t>不存在用户名/不存在邮箱/正确账号+错误密码</t>
        </is>
      </c>
      <c r="H6" s="14" t="inlineStr">
        <is>
          <t>逐组调用登录接口</t>
        </is>
      </c>
      <c r="I6" s="14" t="inlineStr">
        <is>
          <t>HTTP与业务错误结构一致；errMsg不暴露账号是否存在；不创建会话</t>
        </is>
      </c>
      <c r="J6" s="13" t="inlineStr">
        <is>
          <t>api/tests/auth/login-security.spec.ts</t>
        </is>
      </c>
      <c r="K6" s="15" t="inlineStr">
        <is>
          <t>待实现</t>
        </is>
      </c>
      <c r="L6" s="15" t="inlineStr">
        <is>
          <t>未执行</t>
        </is>
      </c>
      <c r="M6" s="15" t="inlineStr"/>
      <c r="N6" s="15" t="inlineStr"/>
      <c r="O6" s="16" t="inlineStr"/>
      <c r="P6" s="16" t="inlineStr"/>
      <c r="Q6" s="15" t="inlineStr"/>
      <c r="R6" s="15" t="inlineStr"/>
    </row>
    <row r="7" ht="96" customHeight="1">
      <c r="A7" s="13" t="inlineStr">
        <is>
          <t>AUT-LGN-004</t>
        </is>
      </c>
      <c r="B7" s="14" t="inlineStr">
        <is>
          <t>协议版本</t>
        </is>
      </c>
      <c r="C7" s="14" t="inlineStr">
        <is>
          <t>协议未确认或版本过期拒绝登录</t>
        </is>
      </c>
      <c r="D7" s="13" t="inlineStr">
        <is>
          <t>P0</t>
        </is>
      </c>
      <c r="E7" s="13" t="inlineStr">
        <is>
          <t>混合</t>
        </is>
      </c>
      <c r="F7" s="14" t="inlineStr">
        <is>
          <t>准备当前版本和过期版本</t>
        </is>
      </c>
      <c r="G7" s="14" t="inlineStr">
        <is>
          <t>未确认/旧版本/当前版本</t>
        </is>
      </c>
      <c r="H7" s="14" t="inlineStr">
        <is>
          <t>提交登录并检查接口与页面</t>
        </is>
      </c>
      <c r="I7" s="14" t="inlineStr">
        <is>
          <t>前两组拒绝且不建会话；当前版本成功并记录同意版本</t>
        </is>
      </c>
      <c r="J7" s="13" t="inlineStr">
        <is>
          <t>api/tests/auth/agreement.spec.ts</t>
        </is>
      </c>
      <c r="K7" s="15" t="inlineStr">
        <is>
          <t>待实现</t>
        </is>
      </c>
      <c r="L7" s="15" t="inlineStr">
        <is>
          <t>未执行</t>
        </is>
      </c>
      <c r="M7" s="15" t="inlineStr"/>
      <c r="N7" s="15" t="inlineStr"/>
      <c r="O7" s="16" t="inlineStr"/>
      <c r="P7" s="16" t="inlineStr"/>
      <c r="Q7" s="15" t="inlineStr"/>
      <c r="R7" s="15" t="inlineStr"/>
    </row>
    <row r="8" ht="96" customHeight="1">
      <c r="A8" s="13" t="inlineStr">
        <is>
          <t>AUT-LGN-005</t>
        </is>
      </c>
      <c r="B8" s="14" t="inlineStr">
        <is>
          <t>并发提交</t>
        </is>
      </c>
      <c r="C8" s="14" t="inlineStr">
        <is>
          <t>登录重复提交只产生一个会话结果</t>
        </is>
      </c>
      <c r="D8" s="13" t="inlineStr">
        <is>
          <t>P0</t>
        </is>
      </c>
      <c r="E8" s="13" t="inlineStr">
        <is>
          <t>混合</t>
        </is>
      </c>
      <c r="F8" s="14" t="inlineStr">
        <is>
          <t>有效账号，延迟登录响应</t>
        </is>
      </c>
      <c r="G8" s="14" t="inlineStr">
        <is>
          <t>连续2次/5次点击或并发请求</t>
        </is>
      </c>
      <c r="H8" s="14" t="inlineStr">
        <is>
          <t>并发提交相同凭证</t>
        </is>
      </c>
      <c r="I8" s="14" t="inlineStr">
        <is>
          <t>UI只发送一次；接口侧不产生多条当前设备有效会话；跳转一次</t>
        </is>
      </c>
      <c r="J8" s="13" t="inlineStr">
        <is>
          <t>quiz-web/e2e/auth/login-idempotency.spec.ts</t>
        </is>
      </c>
      <c r="K8" s="15" t="inlineStr">
        <is>
          <t>待实现</t>
        </is>
      </c>
      <c r="L8" s="15" t="inlineStr">
        <is>
          <t>未执行</t>
        </is>
      </c>
      <c r="M8" s="15" t="inlineStr"/>
      <c r="N8" s="15" t="inlineStr"/>
      <c r="O8" s="16" t="inlineStr"/>
      <c r="P8" s="16" t="inlineStr"/>
      <c r="Q8" s="15" t="inlineStr"/>
      <c r="R8" s="15" t="inlineStr"/>
    </row>
    <row r="9" ht="96" customHeight="1">
      <c r="A9" s="13" t="inlineStr">
        <is>
          <t>AUT-LGN-006</t>
        </is>
      </c>
      <c r="B9" s="14" t="inlineStr">
        <is>
          <t>登录限流</t>
        </is>
      </c>
      <c r="C9" s="14" t="inlineStr">
        <is>
          <t>15分钟20次登录限流边界</t>
        </is>
      </c>
      <c r="D9" s="13" t="inlineStr">
        <is>
          <t>P0</t>
        </is>
      </c>
      <c r="E9" s="13" t="inlineStr">
        <is>
          <t>API</t>
        </is>
      </c>
      <c r="F9" s="14" t="inlineStr">
        <is>
          <t>使用隔离来源并可控制时间</t>
        </is>
      </c>
      <c r="G9" s="14" t="inlineStr">
        <is>
          <t>第20次/第21次/窗口结束后第1次</t>
        </is>
      </c>
      <c r="H9" s="14" t="inlineStr">
        <is>
          <t>按时间窗口连续调用</t>
        </is>
      </c>
      <c r="I9" s="14" t="inlineStr">
        <is>
          <t>边界内正常处理；超限统一提示；窗口结束恢复；更换登录标识不能绕过来源限制</t>
        </is>
      </c>
      <c r="J9" s="13" t="inlineStr">
        <is>
          <t>api/tests/auth/login-rate-limit.spec.ts</t>
        </is>
      </c>
      <c r="K9" s="15" t="inlineStr">
        <is>
          <t>待实现</t>
        </is>
      </c>
      <c r="L9" s="15" t="inlineStr">
        <is>
          <t>未执行</t>
        </is>
      </c>
      <c r="M9" s="15" t="inlineStr"/>
      <c r="N9" s="15" t="inlineStr"/>
      <c r="O9" s="16" t="inlineStr"/>
      <c r="P9" s="16" t="inlineStr"/>
      <c r="Q9" s="15" t="inlineStr"/>
      <c r="R9" s="15" t="inlineStr"/>
    </row>
  </sheetData>
  <autoFilter ref="A3:R9"/>
  <mergeCells count="2">
    <mergeCell ref="A2:R2"/>
    <mergeCell ref="A1:R1"/>
  </mergeCells>
  <conditionalFormatting sqref="D4:D9">
    <cfRule type="expression" priority="1" dxfId="0">
      <formula>$D4="P0"</formula>
    </cfRule>
    <cfRule type="expression" priority="2" dxfId="1">
      <formula>$D4="P1"</formula>
    </cfRule>
  </conditionalFormatting>
  <conditionalFormatting sqref="K4:K9">
    <cfRule type="expression" priority="3" dxfId="2">
      <formula>$K4="已实现"</formula>
    </cfRule>
    <cfRule type="expression" priority="4" dxfId="3">
      <formula>$K4="开发中"</formula>
    </cfRule>
    <cfRule type="expression" priority="5" dxfId="4">
      <formula>$K4="暂缓"</formula>
    </cfRule>
  </conditionalFormatting>
  <conditionalFormatting sqref="L4:L9">
    <cfRule type="expression" priority="6" dxfId="5">
      <formula>$L4="未执行"</formula>
    </cfRule>
    <cfRule type="expression" priority="7" dxfId="2">
      <formula>$L4="通过"</formula>
    </cfRule>
    <cfRule type="expression" priority="8" dxfId="6">
      <formula>$L4="失败"</formula>
    </cfRule>
    <cfRule type="expression" priority="9" dxfId="6">
      <formula>$L4="阻塞"</formula>
    </cfRule>
    <cfRule type="expression" priority="10" dxfId="4">
      <formula>$L4="不适用"</formula>
    </cfRule>
  </conditionalFormatting>
  <conditionalFormatting sqref="M4:M9">
    <cfRule type="expression" priority="11" dxfId="2">
      <formula>$M4="是"</formula>
    </cfRule>
    <cfRule type="expression" priority="12" dxfId="6">
      <formula>$M4="否"</formula>
    </cfRule>
  </conditionalFormatting>
  <conditionalFormatting sqref="N4:N9">
    <cfRule type="expression" priority="13" dxfId="6">
      <formula>$N4="阻塞"</formula>
    </cfRule>
    <cfRule type="expression" priority="14" dxfId="6">
      <formula>$N4="高"</formula>
    </cfRule>
    <cfRule type="expression" priority="15" dxfId="7">
      <formula>$N4="中"</formula>
    </cfRule>
    <cfRule type="expression" priority="16" dxfId="5">
      <formula>$N4="低"</formula>
    </cfRule>
    <cfRule type="expression" priority="17" dxfId="4">
      <formula>$N4="轻微"</formula>
    </cfRule>
  </conditionalFormatting>
  <conditionalFormatting sqref="Q4:Q9">
    <cfRule type="expression" priority="18" dxfId="2">
      <formula>$Q4="已完成"</formula>
    </cfRule>
    <cfRule type="expression" priority="19" dxfId="8">
      <formula>$Q4="待讨论"</formula>
    </cfRule>
    <cfRule type="expression" priority="20" dxfId="4">
      <formula>$Q4="暂不修复"</formula>
    </cfRule>
  </conditionalFormatting>
  <conditionalFormatting sqref="R4:R9">
    <cfRule type="expression" priority="21" dxfId="2">
      <formula>$R4="通过"</formula>
    </cfRule>
    <cfRule type="expression" priority="22" dxfId="6">
      <formula>$R4="不通过"</formula>
    </cfRule>
  </conditionalFormatting>
  <dataValidations count="8">
    <dataValidation sqref="D4:D9" showDropDown="0" showInputMessage="1" showErrorMessage="1" allowBlank="1" errorTitle="选项无效" error="请从下拉列表中选择。" promptTitle="请选择" prompt="选择优先级" type="list" errorStyle="stop">
      <formula1>"P0,P1,P2,P3"</formula1>
    </dataValidation>
    <dataValidation sqref="E4:E9" showDropDown="0" showInputMessage="1" showErrorMessage="1" allowBlank="1" errorTitle="选项无效" error="请从下拉列表中选择。" promptTitle="请选择" prompt="选择自动化层级" type="list" errorStyle="stop">
      <formula1>"API,UI,混合"</formula1>
    </dataValidation>
    <dataValidation sqref="K4:K9" showDropDown="0" showInputMessage="1" showErrorMessage="1" allowBlank="1" errorTitle="选项无效" error="请从下拉列表中选择。" promptTitle="请选择" prompt="选择脚本状态" type="list" errorStyle="stop">
      <formula1>"待实现,开发中,已实现,暂缓"</formula1>
    </dataValidation>
    <dataValidation sqref="L4:L9" showDropDown="0" showInputMessage="1" showErrorMessage="1" allowBlank="1" errorTitle="选项无效" error="请从下拉列表中选择。" promptTitle="请选择" prompt="选择执行状态" type="list" errorStyle="stop">
      <formula1>"未执行,通过,失败,阻塞,不适用"</formula1>
    </dataValidation>
    <dataValidation sqref="M4:M9" showDropDown="0" showInputMessage="1" showErrorMessage="1" allowBlank="1" errorTitle="选项无效" error="请从下拉列表中选择。" promptTitle="请选择" prompt="选择是否通过" type="list" errorStyle="stop">
      <formula1>"是,否"</formula1>
    </dataValidation>
    <dataValidation sqref="N4:N9" showDropDown="0" showInputMessage="1" showErrorMessage="1" allowBlank="1" errorTitle="选项无效" error="请从下拉列表中选择。" promptTitle="请选择" prompt="选择缺陷等级" type="list" errorStyle="stop">
      <formula1>"阻塞,高,中,低,轻微"</formula1>
    </dataValidation>
    <dataValidation sqref="Q4:Q9" showDropDown="0" showInputMessage="1" showErrorMessage="1" allowBlank="1" errorTitle="选项无效" error="请从下拉列表中选择。" promptTitle="请选择" prompt="选择修复情况" type="list" errorStyle="stop">
      <formula1>"已完成,待讨论,暂不修复"</formula1>
    </dataValidation>
    <dataValidation sqref="R4:R9" showDropDown="0" showInputMessage="1" showErrorMessage="1" allowBlank="1" errorTitle="选项无效" error="请从下拉列表中选择。" promptTitle="请选择" prompt="选择回归情况" type="list" errorStyle="stop">
      <formula1>"通过,不通过"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6808A"/>
    <outlinePr summaryBelow="1" summaryRight="1"/>
    <pageSetUpPr fitToPage="1"/>
  </sheetPr>
  <dimension ref="A1:R14"/>
  <sheetViews>
    <sheetView showGridLines="0" zoomScale="75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34" customWidth="1" min="3" max="3"/>
    <col width="9" customWidth="1" min="4" max="4"/>
    <col width="13" customWidth="1" min="5" max="5"/>
    <col width="30" customWidth="1" min="6" max="6"/>
    <col width="42" customWidth="1" min="7" max="7"/>
    <col width="44" customWidth="1" min="8" max="8"/>
    <col width="46" customWidth="1" min="9" max="9"/>
    <col width="42" customWidth="1" min="10" max="10"/>
    <col width="12" customWidth="1" min="11" max="11"/>
    <col width="12" customWidth="1" min="12" max="12"/>
    <col width="10" customWidth="1" min="13" max="13"/>
    <col width="11" customWidth="1" min="14" max="14"/>
    <col width="34" customWidth="1" min="15" max="15"/>
    <col width="28" customWidth="1" min="16" max="16"/>
    <col width="13" customWidth="1" min="17" max="17"/>
    <col width="11" customWidth="1" min="18" max="18"/>
  </cols>
  <sheetData>
    <row r="1" ht="36" customHeight="1">
      <c r="A1" s="1" t="inlineStr">
        <is>
          <t>4.4 登录注册自动化测试用例｜注册</t>
        </is>
      </c>
    </row>
    <row r="2" ht="26" customHeight="1">
      <c r="A2" s="12" t="inlineStr">
        <is>
          <t>来源：文档/4-需求文档/4.4 登录注册.md　｜　范围：参数化校验、接口规则、安全与并发场景　｜　注册：11 条</t>
        </is>
      </c>
    </row>
    <row r="3" ht="34" customHeight="1">
      <c r="A3" s="7" t="inlineStr">
        <is>
          <t>用例编号</t>
        </is>
      </c>
      <c r="B3" s="7" t="inlineStr">
        <is>
          <t>功能模块</t>
        </is>
      </c>
      <c r="C3" s="7" t="inlineStr">
        <is>
          <t>用例标题</t>
        </is>
      </c>
      <c r="D3" s="7" t="inlineStr">
        <is>
          <t>优先级</t>
        </is>
      </c>
      <c r="E3" s="7" t="inlineStr">
        <is>
          <t>自动化层级</t>
        </is>
      </c>
      <c r="F3" s="7" t="inlineStr">
        <is>
          <t>前置数据/Mock</t>
        </is>
      </c>
      <c r="G3" s="7" t="inlineStr">
        <is>
          <t>参数化测试数据</t>
        </is>
      </c>
      <c r="H3" s="7" t="inlineStr">
        <is>
          <t>自动化步骤</t>
        </is>
      </c>
      <c r="I3" s="7" t="inlineStr">
        <is>
          <t>断言</t>
        </is>
      </c>
      <c r="J3" s="7" t="inlineStr">
        <is>
          <t>建议脚本路径</t>
        </is>
      </c>
      <c r="K3" s="7" t="inlineStr">
        <is>
          <t>脚本状态</t>
        </is>
      </c>
      <c r="L3" s="7" t="inlineStr">
        <is>
          <t>执行状态</t>
        </is>
      </c>
      <c r="M3" s="7" t="inlineStr">
        <is>
          <t>是否通过</t>
        </is>
      </c>
      <c r="N3" s="7" t="inlineStr">
        <is>
          <t>缺陷等级</t>
        </is>
      </c>
      <c r="O3" s="7" t="inlineStr">
        <is>
          <t>实际结果</t>
        </is>
      </c>
      <c r="P3" s="7" t="inlineStr">
        <is>
          <t>备注</t>
        </is>
      </c>
      <c r="Q3" s="7" t="inlineStr">
        <is>
          <t>修复情况</t>
        </is>
      </c>
      <c r="R3" s="7" t="inlineStr">
        <is>
          <t>回归情况</t>
        </is>
      </c>
    </row>
    <row r="4" ht="96" customHeight="1">
      <c r="A4" s="13" t="inlineStr">
        <is>
          <t>AUT-REG-001</t>
        </is>
      </c>
      <c r="B4" s="14" t="inlineStr">
        <is>
          <t>用户名长度</t>
        </is>
      </c>
      <c r="C4" s="14" t="inlineStr">
        <is>
          <t>用户名长度边界</t>
        </is>
      </c>
      <c r="D4" s="13" t="inlineStr">
        <is>
          <t>P1</t>
        </is>
      </c>
      <c r="E4" s="13" t="inlineStr">
        <is>
          <t>API</t>
        </is>
      </c>
      <c r="F4" s="14" t="inlineStr">
        <is>
          <t>无同名账号</t>
        </is>
      </c>
      <c r="G4" s="14" t="inlineStr">
        <is>
          <t>最短-1/最短/最大/最大+1字符</t>
        </is>
      </c>
      <c r="H4" s="14" t="inlineStr">
        <is>
          <t>参数化提交注册校验</t>
        </is>
      </c>
      <c r="I4" s="14" t="inlineStr">
        <is>
          <t>合法边界通过；越界返回用户名长度错误；不创建账号</t>
        </is>
      </c>
      <c r="J4" s="13" t="inlineStr">
        <is>
          <t>api/tests/auth/register-username.spec.ts</t>
        </is>
      </c>
      <c r="K4" s="15" t="inlineStr">
        <is>
          <t>待实现</t>
        </is>
      </c>
      <c r="L4" s="15" t="inlineStr">
        <is>
          <t>未执行</t>
        </is>
      </c>
      <c r="M4" s="15" t="inlineStr"/>
      <c r="N4" s="15" t="inlineStr"/>
      <c r="O4" s="16" t="inlineStr"/>
      <c r="P4" s="16" t="inlineStr"/>
      <c r="Q4" s="15" t="inlineStr"/>
      <c r="R4" s="15" t="inlineStr"/>
    </row>
    <row r="5" ht="96" customHeight="1">
      <c r="A5" s="13" t="inlineStr">
        <is>
          <t>AUT-REG-002</t>
        </is>
      </c>
      <c r="B5" s="14" t="inlineStr">
        <is>
          <t>用户名字符</t>
        </is>
      </c>
      <c r="C5" s="14" t="inlineStr">
        <is>
          <t>用户名字符集与纯数字限制</t>
        </is>
      </c>
      <c r="D5" s="13" t="inlineStr">
        <is>
          <t>P1</t>
        </is>
      </c>
      <c r="E5" s="13" t="inlineStr">
        <is>
          <t>API</t>
        </is>
      </c>
      <c r="F5" s="14" t="inlineStr">
        <is>
          <t>无同名账号</t>
        </is>
      </c>
      <c r="G5" s="14" t="inlineStr">
        <is>
          <t>字母/字母数字下划线/纯数字/中文/空格/特殊字符</t>
        </is>
      </c>
      <c r="H5" s="14" t="inlineStr">
        <is>
          <t>参数化提交</t>
        </is>
      </c>
      <c r="I5" s="14" t="inlineStr">
        <is>
          <t>合法字符通过；纯数字及非法字符拒绝；错误定位用户名</t>
        </is>
      </c>
      <c r="J5" s="13" t="inlineStr">
        <is>
          <t>api/tests/auth/register-username.spec.ts</t>
        </is>
      </c>
      <c r="K5" s="15" t="inlineStr">
        <is>
          <t>待实现</t>
        </is>
      </c>
      <c r="L5" s="15" t="inlineStr">
        <is>
          <t>未执行</t>
        </is>
      </c>
      <c r="M5" s="15" t="inlineStr"/>
      <c r="N5" s="15" t="inlineStr"/>
      <c r="O5" s="16" t="inlineStr"/>
      <c r="P5" s="16" t="inlineStr"/>
      <c r="Q5" s="15" t="inlineStr"/>
      <c r="R5" s="15" t="inlineStr"/>
    </row>
    <row r="6" ht="96" customHeight="1">
      <c r="A6" s="13" t="inlineStr">
        <is>
          <t>AUT-REG-003</t>
        </is>
      </c>
      <c r="B6" s="14" t="inlineStr">
        <is>
          <t>用户名唯一</t>
        </is>
      </c>
      <c r="C6" s="14" t="inlineStr">
        <is>
          <t>用户名重复与并发注册唯一性</t>
        </is>
      </c>
      <c r="D6" s="13" t="inlineStr">
        <is>
          <t>P0</t>
        </is>
      </c>
      <c r="E6" s="13" t="inlineStr">
        <is>
          <t>API</t>
        </is>
      </c>
      <c r="F6" s="14" t="inlineStr">
        <is>
          <t>准备已存在用户名</t>
        </is>
      </c>
      <c r="G6" s="14" t="inlineStr">
        <is>
          <t>大小写策略样本；两个并发相同用户名请求</t>
        </is>
      </c>
      <c r="H6" s="14" t="inlineStr">
        <is>
          <t>并发提交注册</t>
        </is>
      </c>
      <c r="I6" s="14" t="inlineStr">
        <is>
          <t>按产品用户名规则判重；数据库只保留一个账号；失败请求返回冲突而非500</t>
        </is>
      </c>
      <c r="J6" s="13" t="inlineStr">
        <is>
          <t>api/tests/auth/register-uniqueness.spec.ts</t>
        </is>
      </c>
      <c r="K6" s="15" t="inlineStr">
        <is>
          <t>待实现</t>
        </is>
      </c>
      <c r="L6" s="15" t="inlineStr">
        <is>
          <t>未执行</t>
        </is>
      </c>
      <c r="M6" s="15" t="inlineStr"/>
      <c r="N6" s="15" t="inlineStr"/>
      <c r="O6" s="16" t="inlineStr"/>
      <c r="P6" s="16" t="inlineStr"/>
      <c r="Q6" s="15" t="inlineStr"/>
      <c r="R6" s="15" t="inlineStr"/>
    </row>
    <row r="7" ht="96" customHeight="1">
      <c r="A7" s="13" t="inlineStr">
        <is>
          <t>AUT-REG-004</t>
        </is>
      </c>
      <c r="B7" s="14" t="inlineStr">
        <is>
          <t>邮箱格式</t>
        </is>
      </c>
      <c r="C7" s="14" t="inlineStr">
        <is>
          <t>邮箱有效性参数集</t>
        </is>
      </c>
      <c r="D7" s="13" t="inlineStr">
        <is>
          <t>P1</t>
        </is>
      </c>
      <c r="E7" s="13" t="inlineStr">
        <is>
          <t>API</t>
        </is>
      </c>
      <c r="F7" s="14" t="inlineStr">
        <is>
          <t>无同邮箱账号</t>
        </is>
      </c>
      <c r="G7" s="14" t="inlineStr">
        <is>
          <t>合法普通/加号/子域；缺@/缺域名/连续点/内部空格/超长</t>
        </is>
      </c>
      <c r="H7" s="14" t="inlineStr">
        <is>
          <t>逐组请求验证码或注册</t>
        </is>
      </c>
      <c r="I7" s="14" t="inlineStr">
        <is>
          <t>合法格式可继续；非法格式统一拒绝且不发送邮件、不创建挑战</t>
        </is>
      </c>
      <c r="J7" s="13" t="inlineStr">
        <is>
          <t>api/tests/auth/email-validation.spec.ts</t>
        </is>
      </c>
      <c r="K7" s="15" t="inlineStr">
        <is>
          <t>待实现</t>
        </is>
      </c>
      <c r="L7" s="15" t="inlineStr">
        <is>
          <t>未执行</t>
        </is>
      </c>
      <c r="M7" s="15" t="inlineStr"/>
      <c r="N7" s="15" t="inlineStr"/>
      <c r="O7" s="16" t="inlineStr"/>
      <c r="P7" s="16" t="inlineStr"/>
      <c r="Q7" s="15" t="inlineStr"/>
      <c r="R7" s="15" t="inlineStr"/>
    </row>
    <row r="8" ht="96" customHeight="1">
      <c r="A8" s="13" t="inlineStr">
        <is>
          <t>AUT-REG-005</t>
        </is>
      </c>
      <c r="B8" s="14" t="inlineStr">
        <is>
          <t>邮箱唯一</t>
        </is>
      </c>
      <c r="C8" s="14" t="inlineStr">
        <is>
          <t>邮箱规范化后全局唯一</t>
        </is>
      </c>
      <c r="D8" s="13" t="inlineStr">
        <is>
          <t>P0</t>
        </is>
      </c>
      <c r="E8" s="13" t="inlineStr">
        <is>
          <t>API</t>
        </is>
      </c>
      <c r="F8" s="14" t="inlineStr">
        <is>
          <t>已存在existing@example.com</t>
        </is>
      </c>
      <c r="G8" s="14" t="inlineStr">
        <is>
          <t>Existing@Example.COM；前后空格；并发相同邮箱</t>
        </is>
      </c>
      <c r="H8" s="14" t="inlineStr">
        <is>
          <t>获取注册码并提交注册</t>
        </is>
      </c>
      <c r="I8" s="14" t="inlineStr">
        <is>
          <t>规范化为小写去空格后判重；不能注册第二个账号；并发仅一个成功</t>
        </is>
      </c>
      <c r="J8" s="13" t="inlineStr">
        <is>
          <t>api/tests/auth/register-uniqueness.spec.ts</t>
        </is>
      </c>
      <c r="K8" s="15" t="inlineStr">
        <is>
          <t>待实现</t>
        </is>
      </c>
      <c r="L8" s="15" t="inlineStr">
        <is>
          <t>未执行</t>
        </is>
      </c>
      <c r="M8" s="15" t="inlineStr"/>
      <c r="N8" s="15" t="inlineStr"/>
      <c r="O8" s="16" t="inlineStr"/>
      <c r="P8" s="16" t="inlineStr"/>
      <c r="Q8" s="15" t="inlineStr"/>
      <c r="R8" s="15" t="inlineStr"/>
    </row>
    <row r="9" ht="96" customHeight="1">
      <c r="A9" s="13" t="inlineStr">
        <is>
          <t>AUT-REG-006</t>
        </is>
      </c>
      <c r="B9" s="14" t="inlineStr">
        <is>
          <t>密码长度</t>
        </is>
      </c>
      <c r="C9" s="14" t="inlineStr">
        <is>
          <t>新建密码8至12位边界</t>
        </is>
      </c>
      <c r="D9" s="13" t="inlineStr">
        <is>
          <t>P1</t>
        </is>
      </c>
      <c r="E9" s="13" t="inlineStr">
        <is>
          <t>API</t>
        </is>
      </c>
      <c r="F9" s="14" t="inlineStr">
        <is>
          <t>其他注册信息有效</t>
        </is>
      </c>
      <c r="G9" s="14" t="inlineStr">
        <is>
          <t>7位/8位/12位/13位</t>
        </is>
      </c>
      <c r="H9" s="14" t="inlineStr">
        <is>
          <t>参数化提交注册</t>
        </is>
      </c>
      <c r="I9" s="14" t="inlineStr">
        <is>
          <t>8和12位通过；7和13位拒绝；不消费验证码</t>
        </is>
      </c>
      <c r="J9" s="13" t="inlineStr">
        <is>
          <t>api/tests/auth/password-policy.spec.ts</t>
        </is>
      </c>
      <c r="K9" s="15" t="inlineStr">
        <is>
          <t>待实现</t>
        </is>
      </c>
      <c r="L9" s="15" t="inlineStr">
        <is>
          <t>未执行</t>
        </is>
      </c>
      <c r="M9" s="15" t="inlineStr"/>
      <c r="N9" s="15" t="inlineStr"/>
      <c r="O9" s="16" t="inlineStr"/>
      <c r="P9" s="16" t="inlineStr"/>
      <c r="Q9" s="15" t="inlineStr"/>
      <c r="R9" s="15" t="inlineStr"/>
    </row>
    <row r="10" ht="96" customHeight="1">
      <c r="A10" s="13" t="inlineStr">
        <is>
          <t>AUT-REG-007</t>
        </is>
      </c>
      <c r="B10" s="14" t="inlineStr">
        <is>
          <t>密码组成</t>
        </is>
      </c>
      <c r="C10" s="14" t="inlineStr">
        <is>
          <t>密码字母数字与允许特殊字符规则</t>
        </is>
      </c>
      <c r="D10" s="13" t="inlineStr">
        <is>
          <t>P1</t>
        </is>
      </c>
      <c r="E10" s="13" t="inlineStr">
        <is>
          <t>API</t>
        </is>
      </c>
      <c r="F10" s="14" t="inlineStr">
        <is>
          <t>其他注册信息有效</t>
        </is>
      </c>
      <c r="G10" s="14" t="inlineStr">
        <is>
          <t>仅字母/仅数字/字母数字/含!@#$%/含其他符号/含空格</t>
        </is>
      </c>
      <c r="H10" s="14" t="inlineStr">
        <is>
          <t>参数化提交</t>
        </is>
      </c>
      <c r="I10" s="14" t="inlineStr">
        <is>
          <t>仅字母数字组合及允许字符通过；其他拒绝；密码不写入日志或响应</t>
        </is>
      </c>
      <c r="J10" s="13" t="inlineStr">
        <is>
          <t>api/tests/auth/password-policy.spec.ts</t>
        </is>
      </c>
      <c r="K10" s="15" t="inlineStr">
        <is>
          <t>待实现</t>
        </is>
      </c>
      <c r="L10" s="15" t="inlineStr">
        <is>
          <t>未执行</t>
        </is>
      </c>
      <c r="M10" s="15" t="inlineStr"/>
      <c r="N10" s="15" t="inlineStr"/>
      <c r="O10" s="16" t="inlineStr"/>
      <c r="P10" s="16" t="inlineStr"/>
      <c r="Q10" s="15" t="inlineStr"/>
      <c r="R10" s="15" t="inlineStr"/>
    </row>
    <row r="11" ht="96" customHeight="1">
      <c r="A11" s="13" t="inlineStr">
        <is>
          <t>AUT-REG-008</t>
        </is>
      </c>
      <c r="B11" s="14" t="inlineStr">
        <is>
          <t>确认密码</t>
        </is>
      </c>
      <c r="C11" s="14" t="inlineStr">
        <is>
          <t>确认密码必须完全一致</t>
        </is>
      </c>
      <c r="D11" s="13" t="inlineStr">
        <is>
          <t>P1</t>
        </is>
      </c>
      <c r="E11" s="13" t="inlineStr">
        <is>
          <t>UI</t>
        </is>
      </c>
      <c r="F11" s="14" t="inlineStr">
        <is>
          <t>其他注册字段有效</t>
        </is>
      </c>
      <c r="G11" s="14" t="inlineStr">
        <is>
          <t>大小写不同/尾部空格/完全一致</t>
        </is>
      </c>
      <c r="H11" s="14" t="inlineStr">
        <is>
          <t>参数化填写并提交</t>
        </is>
      </c>
      <c r="I11" s="14" t="inlineStr">
        <is>
          <t>不一致均在前端提示且不发注册请求；一致可继续</t>
        </is>
      </c>
      <c r="J11" s="13" t="inlineStr">
        <is>
          <t>quiz-web/e2e/auth/register-validation.spec.ts</t>
        </is>
      </c>
      <c r="K11" s="15" t="inlineStr">
        <is>
          <t>待实现</t>
        </is>
      </c>
      <c r="L11" s="15" t="inlineStr">
        <is>
          <t>未执行</t>
        </is>
      </c>
      <c r="M11" s="15" t="inlineStr"/>
      <c r="N11" s="15" t="inlineStr"/>
      <c r="O11" s="16" t="inlineStr"/>
      <c r="P11" s="16" t="inlineStr"/>
      <c r="Q11" s="15" t="inlineStr"/>
      <c r="R11" s="15" t="inlineStr"/>
    </row>
    <row r="12" ht="96" customHeight="1">
      <c r="A12" s="13" t="inlineStr">
        <is>
          <t>AUT-REG-009</t>
        </is>
      </c>
      <c r="B12" s="14" t="inlineStr">
        <is>
          <t>ESAT科目</t>
        </is>
      </c>
      <c r="C12" s="14" t="inlineStr">
        <is>
          <t>ESAT必须含M1且恰好三科</t>
        </is>
      </c>
      <c r="D12" s="13" t="inlineStr">
        <is>
          <t>P0</t>
        </is>
      </c>
      <c r="E12" s="13" t="inlineStr">
        <is>
          <t>API</t>
        </is>
      </c>
      <c r="F12" s="14" t="inlineStr">
        <is>
          <t>已选择ESAT</t>
        </is>
      </c>
      <c r="G12" s="14" t="inlineStr">
        <is>
          <t>0/1/2/3/4科；3科不含M1；合法3科含M1</t>
        </is>
      </c>
      <c r="H12" s="14" t="inlineStr">
        <is>
          <t>参数化提交考试目标</t>
        </is>
      </c>
      <c r="I12" s="14" t="inlineStr">
        <is>
          <t>仅合法3科含M1成功；其余返回明确业务错误且不创建半成品账号</t>
        </is>
      </c>
      <c r="J12" s="13" t="inlineStr">
        <is>
          <t>api/tests/auth/register-goals.spec.ts</t>
        </is>
      </c>
      <c r="K12" s="15" t="inlineStr">
        <is>
          <t>待实现</t>
        </is>
      </c>
      <c r="L12" s="15" t="inlineStr">
        <is>
          <t>未执行</t>
        </is>
      </c>
      <c r="M12" s="15" t="inlineStr"/>
      <c r="N12" s="15" t="inlineStr"/>
      <c r="O12" s="16" t="inlineStr"/>
      <c r="P12" s="16" t="inlineStr"/>
      <c r="Q12" s="15" t="inlineStr"/>
      <c r="R12" s="15" t="inlineStr"/>
    </row>
    <row r="13" ht="96" customHeight="1">
      <c r="A13" s="13" t="inlineStr">
        <is>
          <t>AUT-REG-010</t>
        </is>
      </c>
      <c r="B13" s="14" t="inlineStr">
        <is>
          <t>考试范围</t>
        </is>
      </c>
      <c r="C13" s="14" t="inlineStr">
        <is>
          <t>TMUA固定数学且STEP及管理员参数不可注入</t>
        </is>
      </c>
      <c r="D13" s="13" t="inlineStr">
        <is>
          <t>P0</t>
        </is>
      </c>
      <c r="E13" s="13" t="inlineStr">
        <is>
          <t>API</t>
        </is>
      </c>
      <c r="F13" s="14" t="inlineStr">
        <is>
          <t>其他注册字段有效</t>
        </is>
      </c>
      <c r="G13" s="14" t="inlineStr">
        <is>
          <t>TMUA合法；STEP；role=admin；未知考试代码</t>
        </is>
      </c>
      <c r="H13" s="14" t="inlineStr">
        <is>
          <t>构造请求并提交</t>
        </is>
      </c>
      <c r="I13" s="14" t="inlineStr">
        <is>
          <t>TMUA按固定规则保存；STEP、管理员角色和未知代码被忽略或拒绝；公开注册永不创建管理员</t>
        </is>
      </c>
      <c r="J13" s="13" t="inlineStr">
        <is>
          <t>api/tests/auth/register-security.spec.ts</t>
        </is>
      </c>
      <c r="K13" s="15" t="inlineStr">
        <is>
          <t>待实现</t>
        </is>
      </c>
      <c r="L13" s="15" t="inlineStr">
        <is>
          <t>未执行</t>
        </is>
      </c>
      <c r="M13" s="15" t="inlineStr"/>
      <c r="N13" s="15" t="inlineStr"/>
      <c r="O13" s="16" t="inlineStr"/>
      <c r="P13" s="16" t="inlineStr"/>
      <c r="Q13" s="15" t="inlineStr"/>
      <c r="R13" s="15" t="inlineStr"/>
    </row>
    <row r="14" ht="96" customHeight="1">
      <c r="A14" s="13" t="inlineStr">
        <is>
          <t>AUT-REG-011</t>
        </is>
      </c>
      <c r="B14" s="14" t="inlineStr">
        <is>
          <t>注册原子性</t>
        </is>
      </c>
      <c r="C14" s="14" t="inlineStr">
        <is>
          <t>验证码消费、账号创建与协议确认保持原子</t>
        </is>
      </c>
      <c r="D14" s="13" t="inlineStr">
        <is>
          <t>P0</t>
        </is>
      </c>
      <c r="E14" s="13" t="inlineStr">
        <is>
          <t>API</t>
        </is>
      </c>
      <c r="F14" s="14" t="inlineStr">
        <is>
          <t>可注入账号创建或会话建立故障</t>
        </is>
      </c>
      <c r="G14" s="14" t="inlineStr">
        <is>
          <t>验证码有效+创建失败；创建成功+会话失败；成功重试</t>
        </is>
      </c>
      <c r="H14" s="14" t="inlineStr">
        <is>
          <t>逐组执行并查询账号、挑战、会话</t>
        </is>
      </c>
      <c r="I14" s="14" t="inlineStr">
        <is>
          <t>创建失败不留账号且验证码可按规则重试；账号已创建但会话失败返回可恢复结果；无重复账号或重复会话</t>
        </is>
      </c>
      <c r="J14" s="13" t="inlineStr">
        <is>
          <t>api/tests/auth/register-atomicity.spec.ts</t>
        </is>
      </c>
      <c r="K14" s="15" t="inlineStr">
        <is>
          <t>待实现</t>
        </is>
      </c>
      <c r="L14" s="15" t="inlineStr">
        <is>
          <t>未执行</t>
        </is>
      </c>
      <c r="M14" s="15" t="inlineStr"/>
      <c r="N14" s="15" t="inlineStr"/>
      <c r="O14" s="16" t="inlineStr"/>
      <c r="P14" s="16" t="inlineStr">
        <is>
          <t>当前实现待对齐，建议优先自动化锁定。</t>
        </is>
      </c>
      <c r="Q14" s="15" t="inlineStr"/>
      <c r="R14" s="15" t="inlineStr"/>
    </row>
  </sheetData>
  <autoFilter ref="A3:R14"/>
  <mergeCells count="2">
    <mergeCell ref="A2:R2"/>
    <mergeCell ref="A1:R1"/>
  </mergeCells>
  <conditionalFormatting sqref="D4:D14">
    <cfRule type="expression" priority="1" dxfId="0">
      <formula>$D4="P0"</formula>
    </cfRule>
    <cfRule type="expression" priority="2" dxfId="1">
      <formula>$D4="P1"</formula>
    </cfRule>
  </conditionalFormatting>
  <conditionalFormatting sqref="K4:K14">
    <cfRule type="expression" priority="3" dxfId="2">
      <formula>$K4="已实现"</formula>
    </cfRule>
    <cfRule type="expression" priority="4" dxfId="3">
      <formula>$K4="开发中"</formula>
    </cfRule>
    <cfRule type="expression" priority="5" dxfId="4">
      <formula>$K4="暂缓"</formula>
    </cfRule>
  </conditionalFormatting>
  <conditionalFormatting sqref="L4:L14">
    <cfRule type="expression" priority="6" dxfId="5">
      <formula>$L4="未执行"</formula>
    </cfRule>
    <cfRule type="expression" priority="7" dxfId="2">
      <formula>$L4="通过"</formula>
    </cfRule>
    <cfRule type="expression" priority="8" dxfId="6">
      <formula>$L4="失败"</formula>
    </cfRule>
    <cfRule type="expression" priority="9" dxfId="6">
      <formula>$L4="阻塞"</formula>
    </cfRule>
    <cfRule type="expression" priority="10" dxfId="4">
      <formula>$L4="不适用"</formula>
    </cfRule>
  </conditionalFormatting>
  <conditionalFormatting sqref="M4:M14">
    <cfRule type="expression" priority="11" dxfId="2">
      <formula>$M4="是"</formula>
    </cfRule>
    <cfRule type="expression" priority="12" dxfId="6">
      <formula>$M4="否"</formula>
    </cfRule>
  </conditionalFormatting>
  <conditionalFormatting sqref="N4:N14">
    <cfRule type="expression" priority="13" dxfId="6">
      <formula>$N4="阻塞"</formula>
    </cfRule>
    <cfRule type="expression" priority="14" dxfId="6">
      <formula>$N4="高"</formula>
    </cfRule>
    <cfRule type="expression" priority="15" dxfId="7">
      <formula>$N4="中"</formula>
    </cfRule>
    <cfRule type="expression" priority="16" dxfId="5">
      <formula>$N4="低"</formula>
    </cfRule>
    <cfRule type="expression" priority="17" dxfId="4">
      <formula>$N4="轻微"</formula>
    </cfRule>
  </conditionalFormatting>
  <conditionalFormatting sqref="Q4:Q14">
    <cfRule type="expression" priority="18" dxfId="2">
      <formula>$Q4="已完成"</formula>
    </cfRule>
    <cfRule type="expression" priority="19" dxfId="8">
      <formula>$Q4="待讨论"</formula>
    </cfRule>
    <cfRule type="expression" priority="20" dxfId="4">
      <formula>$Q4="暂不修复"</formula>
    </cfRule>
  </conditionalFormatting>
  <conditionalFormatting sqref="R4:R14">
    <cfRule type="expression" priority="21" dxfId="2">
      <formula>$R4="通过"</formula>
    </cfRule>
    <cfRule type="expression" priority="22" dxfId="6">
      <formula>$R4="不通过"</formula>
    </cfRule>
  </conditionalFormatting>
  <dataValidations count="8">
    <dataValidation sqref="D4:D14" showDropDown="0" showInputMessage="1" showErrorMessage="1" allowBlank="1" errorTitle="选项无效" error="请从下拉列表中选择。" promptTitle="请选择" prompt="选择优先级" type="list" errorStyle="stop">
      <formula1>"P0,P1,P2,P3"</formula1>
    </dataValidation>
    <dataValidation sqref="E4:E14" showDropDown="0" showInputMessage="1" showErrorMessage="1" allowBlank="1" errorTitle="选项无效" error="请从下拉列表中选择。" promptTitle="请选择" prompt="选择自动化层级" type="list" errorStyle="stop">
      <formula1>"API,UI,混合"</formula1>
    </dataValidation>
    <dataValidation sqref="K4:K14" showDropDown="0" showInputMessage="1" showErrorMessage="1" allowBlank="1" errorTitle="选项无效" error="请从下拉列表中选择。" promptTitle="请选择" prompt="选择脚本状态" type="list" errorStyle="stop">
      <formula1>"待实现,开发中,已实现,暂缓"</formula1>
    </dataValidation>
    <dataValidation sqref="L4:L14" showDropDown="0" showInputMessage="1" showErrorMessage="1" allowBlank="1" errorTitle="选项无效" error="请从下拉列表中选择。" promptTitle="请选择" prompt="选择执行状态" type="list" errorStyle="stop">
      <formula1>"未执行,通过,失败,阻塞,不适用"</formula1>
    </dataValidation>
    <dataValidation sqref="M4:M14" showDropDown="0" showInputMessage="1" showErrorMessage="1" allowBlank="1" errorTitle="选项无效" error="请从下拉列表中选择。" promptTitle="请选择" prompt="选择是否通过" type="list" errorStyle="stop">
      <formula1>"是,否"</formula1>
    </dataValidation>
    <dataValidation sqref="N4:N14" showDropDown="0" showInputMessage="1" showErrorMessage="1" allowBlank="1" errorTitle="选项无效" error="请从下拉列表中选择。" promptTitle="请选择" prompt="选择缺陷等级" type="list" errorStyle="stop">
      <formula1>"阻塞,高,中,低,轻微"</formula1>
    </dataValidation>
    <dataValidation sqref="Q4:Q14" showDropDown="0" showInputMessage="1" showErrorMessage="1" allowBlank="1" errorTitle="选项无效" error="请从下拉列表中选择。" promptTitle="请选择" prompt="选择修复情况" type="list" errorStyle="stop">
      <formula1>"已完成,待讨论,暂不修复"</formula1>
    </dataValidation>
    <dataValidation sqref="R4:R14" showDropDown="0" showInputMessage="1" showErrorMessage="1" allowBlank="1" errorTitle="选项无效" error="请从下拉列表中选择。" promptTitle="请选择" prompt="选择回归情况" type="list" errorStyle="stop">
      <formula1>"通过,不通过"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6808A"/>
    <outlinePr summaryBelow="1" summaryRight="1"/>
    <pageSetUpPr fitToPage="1"/>
  </sheetPr>
  <dimension ref="A1:R10"/>
  <sheetViews>
    <sheetView showGridLines="0" zoomScale="75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34" customWidth="1" min="3" max="3"/>
    <col width="9" customWidth="1" min="4" max="4"/>
    <col width="13" customWidth="1" min="5" max="5"/>
    <col width="30" customWidth="1" min="6" max="6"/>
    <col width="42" customWidth="1" min="7" max="7"/>
    <col width="44" customWidth="1" min="8" max="8"/>
    <col width="46" customWidth="1" min="9" max="9"/>
    <col width="42" customWidth="1" min="10" max="10"/>
    <col width="12" customWidth="1" min="11" max="11"/>
    <col width="12" customWidth="1" min="12" max="12"/>
    <col width="10" customWidth="1" min="13" max="13"/>
    <col width="11" customWidth="1" min="14" max="14"/>
    <col width="34" customWidth="1" min="15" max="15"/>
    <col width="28" customWidth="1" min="16" max="16"/>
    <col width="13" customWidth="1" min="17" max="17"/>
    <col width="11" customWidth="1" min="18" max="18"/>
  </cols>
  <sheetData>
    <row r="1" ht="36" customHeight="1">
      <c r="A1" s="1" t="inlineStr">
        <is>
          <t>4.4 登录注册自动化测试用例｜邮箱验证码</t>
        </is>
      </c>
    </row>
    <row r="2" ht="26" customHeight="1">
      <c r="A2" s="12" t="inlineStr">
        <is>
          <t>来源：文档/4-需求文档/4.4 登录注册.md　｜　范围：参数化校验、接口规则、安全与并发场景　｜　邮箱验证码：7 条</t>
        </is>
      </c>
    </row>
    <row r="3" ht="34" customHeight="1">
      <c r="A3" s="7" t="inlineStr">
        <is>
          <t>用例编号</t>
        </is>
      </c>
      <c r="B3" s="7" t="inlineStr">
        <is>
          <t>功能模块</t>
        </is>
      </c>
      <c r="C3" s="7" t="inlineStr">
        <is>
          <t>用例标题</t>
        </is>
      </c>
      <c r="D3" s="7" t="inlineStr">
        <is>
          <t>优先级</t>
        </is>
      </c>
      <c r="E3" s="7" t="inlineStr">
        <is>
          <t>自动化层级</t>
        </is>
      </c>
      <c r="F3" s="7" t="inlineStr">
        <is>
          <t>前置数据/Mock</t>
        </is>
      </c>
      <c r="G3" s="7" t="inlineStr">
        <is>
          <t>参数化测试数据</t>
        </is>
      </c>
      <c r="H3" s="7" t="inlineStr">
        <is>
          <t>自动化步骤</t>
        </is>
      </c>
      <c r="I3" s="7" t="inlineStr">
        <is>
          <t>断言</t>
        </is>
      </c>
      <c r="J3" s="7" t="inlineStr">
        <is>
          <t>建议脚本路径</t>
        </is>
      </c>
      <c r="K3" s="7" t="inlineStr">
        <is>
          <t>脚本状态</t>
        </is>
      </c>
      <c r="L3" s="7" t="inlineStr">
        <is>
          <t>执行状态</t>
        </is>
      </c>
      <c r="M3" s="7" t="inlineStr">
        <is>
          <t>是否通过</t>
        </is>
      </c>
      <c r="N3" s="7" t="inlineStr">
        <is>
          <t>缺陷等级</t>
        </is>
      </c>
      <c r="O3" s="7" t="inlineStr">
        <is>
          <t>实际结果</t>
        </is>
      </c>
      <c r="P3" s="7" t="inlineStr">
        <is>
          <t>备注</t>
        </is>
      </c>
      <c r="Q3" s="7" t="inlineStr">
        <is>
          <t>修复情况</t>
        </is>
      </c>
      <c r="R3" s="7" t="inlineStr">
        <is>
          <t>回归情况</t>
        </is>
      </c>
    </row>
    <row r="4" ht="96" customHeight="1">
      <c r="A4" s="13" t="inlineStr">
        <is>
          <t>AUT-EML-001</t>
        </is>
      </c>
      <c r="B4" s="14" t="inlineStr">
        <is>
          <t>验证码格式</t>
        </is>
      </c>
      <c r="C4" s="14" t="inlineStr">
        <is>
          <t>验证码仅接受六位数字并保留前导零</t>
        </is>
      </c>
      <c r="D4" s="13" t="inlineStr">
        <is>
          <t>P1</t>
        </is>
      </c>
      <c r="E4" s="13" t="inlineStr">
        <is>
          <t>混合</t>
        </is>
      </c>
      <c r="F4" s="14" t="inlineStr">
        <is>
          <t>创建有效挑战</t>
        </is>
      </c>
      <c r="G4" s="14" t="inlineStr">
        <is>
          <t>012345/1234567/12a3-45/空格/中文</t>
        </is>
      </c>
      <c r="H4" s="14" t="inlineStr">
        <is>
          <t>UI输入并向接口提交</t>
        </is>
      </c>
      <c r="I4" s="14" t="inlineStr">
        <is>
          <t>UI只保留前六位数字；前导零不丢失；接口拒绝非六位数字</t>
        </is>
      </c>
      <c r="J4" s="13" t="inlineStr">
        <is>
          <t>quiz-web/e2e/auth/code-input.spec.ts</t>
        </is>
      </c>
      <c r="K4" s="15" t="inlineStr">
        <is>
          <t>待实现</t>
        </is>
      </c>
      <c r="L4" s="15" t="inlineStr">
        <is>
          <t>未执行</t>
        </is>
      </c>
      <c r="M4" s="15" t="inlineStr"/>
      <c r="N4" s="15" t="inlineStr"/>
      <c r="O4" s="16" t="inlineStr"/>
      <c r="P4" s="16" t="inlineStr"/>
      <c r="Q4" s="15" t="inlineStr"/>
      <c r="R4" s="15" t="inlineStr"/>
    </row>
    <row r="5" ht="96" customHeight="1">
      <c r="A5" s="13" t="inlineStr">
        <is>
          <t>AUT-EML-002</t>
        </is>
      </c>
      <c r="B5" s="14" t="inlineStr">
        <is>
          <t>有效期</t>
        </is>
      </c>
      <c r="C5" s="14" t="inlineStr">
        <is>
          <t>验证码十分钟有效期边界</t>
        </is>
      </c>
      <c r="D5" s="13" t="inlineStr">
        <is>
          <t>P0</t>
        </is>
      </c>
      <c r="E5" s="13" t="inlineStr">
        <is>
          <t>API</t>
        </is>
      </c>
      <c r="F5" s="14" t="inlineStr">
        <is>
          <t>可控制服务端时间</t>
        </is>
      </c>
      <c r="G5" s="14" t="inlineStr">
        <is>
          <t>9:59/10:00/10:01</t>
        </is>
      </c>
      <c r="H5" s="14" t="inlineStr">
        <is>
          <t>在各时间点校验同一挑战</t>
        </is>
      </c>
      <c r="I5" s="14" t="inlineStr">
        <is>
          <t>有效期内通过；到期点按服务端定义稳定判定；过期后不可消费</t>
        </is>
      </c>
      <c r="J5" s="13" t="inlineStr">
        <is>
          <t>api/tests/auth/code-expiry.spec.ts</t>
        </is>
      </c>
      <c r="K5" s="15" t="inlineStr">
        <is>
          <t>待实现</t>
        </is>
      </c>
      <c r="L5" s="15" t="inlineStr">
        <is>
          <t>未执行</t>
        </is>
      </c>
      <c r="M5" s="15" t="inlineStr"/>
      <c r="N5" s="15" t="inlineStr"/>
      <c r="O5" s="16" t="inlineStr"/>
      <c r="P5" s="16" t="inlineStr"/>
      <c r="Q5" s="15" t="inlineStr"/>
      <c r="R5" s="15" t="inlineStr"/>
    </row>
    <row r="6" ht="96" customHeight="1">
      <c r="A6" s="13" t="inlineStr">
        <is>
          <t>AUT-EML-003</t>
        </is>
      </c>
      <c r="B6" s="14" t="inlineStr">
        <is>
          <t>错误次数</t>
        </is>
      </c>
      <c r="C6" s="14" t="inlineStr">
        <is>
          <t>连续五次错误后验证码失效</t>
        </is>
      </c>
      <c r="D6" s="13" t="inlineStr">
        <is>
          <t>P0</t>
        </is>
      </c>
      <c r="E6" s="13" t="inlineStr">
        <is>
          <t>API</t>
        </is>
      </c>
      <c r="F6" s="14" t="inlineStr">
        <is>
          <t>创建有效挑战</t>
        </is>
      </c>
      <c r="G6" s="14" t="inlineStr">
        <is>
          <t>第1至4次错误/第5次错误/失效后正确码</t>
        </is>
      </c>
      <c r="H6" s="14" t="inlineStr">
        <is>
          <t>连续提交错误码再提交正确码</t>
        </is>
      </c>
      <c r="I6" s="14" t="inlineStr">
        <is>
          <t>前四次可继续；第五次使挑战失效；之后正确码也失败</t>
        </is>
      </c>
      <c r="J6" s="13" t="inlineStr">
        <is>
          <t>api/tests/auth/code-attempts.spec.ts</t>
        </is>
      </c>
      <c r="K6" s="15" t="inlineStr">
        <is>
          <t>待实现</t>
        </is>
      </c>
      <c r="L6" s="15" t="inlineStr">
        <is>
          <t>未执行</t>
        </is>
      </c>
      <c r="M6" s="15" t="inlineStr"/>
      <c r="N6" s="15" t="inlineStr"/>
      <c r="O6" s="16" t="inlineStr"/>
      <c r="P6" s="16" t="inlineStr"/>
      <c r="Q6" s="15" t="inlineStr"/>
      <c r="R6" s="15" t="inlineStr"/>
    </row>
    <row r="7" ht="96" customHeight="1">
      <c r="A7" s="13" t="inlineStr">
        <is>
          <t>AUT-EML-004</t>
        </is>
      </c>
      <c r="B7" s="14" t="inlineStr">
        <is>
          <t>重新获取</t>
        </is>
      </c>
      <c r="C7" s="14" t="inlineStr">
        <is>
          <t>新验证码生成后旧验证码立即失效</t>
        </is>
      </c>
      <c r="D7" s="13" t="inlineStr">
        <is>
          <t>P0</t>
        </is>
      </c>
      <c r="E7" s="13" t="inlineStr">
        <is>
          <t>API</t>
        </is>
      </c>
      <c r="F7" s="14" t="inlineStr">
        <is>
          <t>同邮箱同用途先后生成A、B</t>
        </is>
      </c>
      <c r="G7" s="14" t="inlineStr">
        <is>
          <t>旧码A/新码B</t>
        </is>
      </c>
      <c r="H7" s="14" t="inlineStr">
        <is>
          <t>生成B后分别校验A、B，并重复使用B</t>
        </is>
      </c>
      <c r="I7" s="14" t="inlineStr">
        <is>
          <t>A失败；B首次成功；成功消费后的B不可复用</t>
        </is>
      </c>
      <c r="J7" s="13" t="inlineStr">
        <is>
          <t>api/tests/auth/code-lifecycle.spec.ts</t>
        </is>
      </c>
      <c r="K7" s="15" t="inlineStr">
        <is>
          <t>待实现</t>
        </is>
      </c>
      <c r="L7" s="15" t="inlineStr">
        <is>
          <t>未执行</t>
        </is>
      </c>
      <c r="M7" s="15" t="inlineStr"/>
      <c r="N7" s="15" t="inlineStr"/>
      <c r="O7" s="16" t="inlineStr"/>
      <c r="P7" s="16" t="inlineStr"/>
      <c r="Q7" s="15" t="inlineStr"/>
      <c r="R7" s="15" t="inlineStr"/>
    </row>
    <row r="8" ht="96" customHeight="1">
      <c r="A8" s="13" t="inlineStr">
        <is>
          <t>AUT-EML-005</t>
        </is>
      </c>
      <c r="B8" s="14" t="inlineStr">
        <is>
          <t>绑定关系</t>
        </is>
      </c>
      <c r="C8" s="14" t="inlineStr">
        <is>
          <t>验证码绑定邮箱、用途与请求</t>
        </is>
      </c>
      <c r="D8" s="13" t="inlineStr">
        <is>
          <t>P0</t>
        </is>
      </c>
      <c r="E8" s="13" t="inlineStr">
        <is>
          <t>API</t>
        </is>
      </c>
      <c r="F8" s="14" t="inlineStr">
        <is>
          <t>为邮箱A创建注册与重置挑战</t>
        </is>
      </c>
      <c r="G8" s="14" t="inlineStr">
        <is>
          <t>邮箱A/B；注册/重置；不同challengeId</t>
        </is>
      </c>
      <c r="H8" s="14" t="inlineStr">
        <is>
          <t>交叉组合提交</t>
        </is>
      </c>
      <c r="I8" s="14" t="inlineStr">
        <is>
          <t>只有邮箱、用途和请求全部匹配才通过；不匹配不创建账号、不修改密码</t>
        </is>
      </c>
      <c r="J8" s="13" t="inlineStr">
        <is>
          <t>api/tests/auth/code-binding.spec.ts</t>
        </is>
      </c>
      <c r="K8" s="15" t="inlineStr">
        <is>
          <t>待实现</t>
        </is>
      </c>
      <c r="L8" s="15" t="inlineStr">
        <is>
          <t>未执行</t>
        </is>
      </c>
      <c r="M8" s="15" t="inlineStr"/>
      <c r="N8" s="15" t="inlineStr"/>
      <c r="O8" s="16" t="inlineStr"/>
      <c r="P8" s="16" t="inlineStr"/>
      <c r="Q8" s="15" t="inlineStr"/>
      <c r="R8" s="15" t="inlineStr"/>
    </row>
    <row r="9" ht="96" customHeight="1">
      <c r="A9" s="13" t="inlineStr">
        <is>
          <t>AUT-EML-006</t>
        </is>
      </c>
      <c r="B9" s="14" t="inlineStr">
        <is>
          <t>发送限流</t>
        </is>
      </c>
      <c r="C9" s="14" t="inlineStr">
        <is>
          <t>验证码60秒、每小时5次及来源20次限流</t>
        </is>
      </c>
      <c r="D9" s="13" t="inlineStr">
        <is>
          <t>P0</t>
        </is>
      </c>
      <c r="E9" s="13" t="inlineStr">
        <is>
          <t>API</t>
        </is>
      </c>
      <c r="F9" s="14" t="inlineStr">
        <is>
          <t>隔离邮箱和来源，可控制时间</t>
        </is>
      </c>
      <c r="G9" s="14" t="inlineStr">
        <is>
          <t>59秒/60秒；第5/6次；来源第20/21次</t>
        </is>
      </c>
      <c r="H9" s="14" t="inlineStr">
        <is>
          <t>参数化发送验证码</t>
        </is>
      </c>
      <c r="I9" s="14" t="inlineStr">
        <is>
          <t>各边界按规则限制；更换邮箱不能绕过来源限流；窗口结束恢复</t>
        </is>
      </c>
      <c r="J9" s="13" t="inlineStr">
        <is>
          <t>api/tests/auth/code-rate-limit.spec.ts</t>
        </is>
      </c>
      <c r="K9" s="15" t="inlineStr">
        <is>
          <t>待实现</t>
        </is>
      </c>
      <c r="L9" s="15" t="inlineStr">
        <is>
          <t>未执行</t>
        </is>
      </c>
      <c r="M9" s="15" t="inlineStr"/>
      <c r="N9" s="15" t="inlineStr"/>
      <c r="O9" s="16" t="inlineStr"/>
      <c r="P9" s="16" t="inlineStr"/>
      <c r="Q9" s="15" t="inlineStr"/>
      <c r="R9" s="15" t="inlineStr"/>
    </row>
    <row r="10" ht="96" customHeight="1">
      <c r="A10" s="13" t="inlineStr">
        <is>
          <t>AUT-EML-007</t>
        </is>
      </c>
      <c r="B10" s="14" t="inlineStr">
        <is>
          <t>发送容错</t>
        </is>
      </c>
      <c r="C10" s="14" t="inlineStr">
        <is>
          <t>邮件失败与重置未知邮箱隐私</t>
        </is>
      </c>
      <c r="D10" s="13" t="inlineStr">
        <is>
          <t>P0</t>
        </is>
      </c>
      <c r="E10" s="13" t="inlineStr">
        <is>
          <t>API</t>
        </is>
      </c>
      <c r="F10" s="14" t="inlineStr">
        <is>
          <t>Mock邮件成功、失败；准备未注册邮箱</t>
        </is>
      </c>
      <c r="G10" s="14" t="inlineStr">
        <is>
          <t>注册邮件失败；重置未知邮箱；重置已注册邮箱</t>
        </is>
      </c>
      <c r="H10" s="14" t="inlineStr">
        <is>
          <t>调用发送接口并检查挑战和响应</t>
        </is>
      </c>
      <c r="I10" s="14" t="inlineStr">
        <is>
          <t>邮件失败不产生可用挑战；重置两种邮箱响应文案一致；仅已注册邮箱产生真实重置资格</t>
        </is>
      </c>
      <c r="J10" s="13" t="inlineStr">
        <is>
          <t>api/tests/auth/code-delivery.spec.ts</t>
        </is>
      </c>
      <c r="K10" s="15" t="inlineStr">
        <is>
          <t>待实现</t>
        </is>
      </c>
      <c r="L10" s="15" t="inlineStr">
        <is>
          <t>未执行</t>
        </is>
      </c>
      <c r="M10" s="15" t="inlineStr"/>
      <c r="N10" s="15" t="inlineStr"/>
      <c r="O10" s="16" t="inlineStr"/>
      <c r="P10" s="16" t="inlineStr"/>
      <c r="Q10" s="15" t="inlineStr"/>
      <c r="R10" s="15" t="inlineStr"/>
    </row>
  </sheetData>
  <autoFilter ref="A3:R10"/>
  <mergeCells count="2">
    <mergeCell ref="A2:R2"/>
    <mergeCell ref="A1:R1"/>
  </mergeCells>
  <conditionalFormatting sqref="D4:D10">
    <cfRule type="expression" priority="1" dxfId="0">
      <formula>$D4="P0"</formula>
    </cfRule>
    <cfRule type="expression" priority="2" dxfId="1">
      <formula>$D4="P1"</formula>
    </cfRule>
  </conditionalFormatting>
  <conditionalFormatting sqref="K4:K10">
    <cfRule type="expression" priority="3" dxfId="2">
      <formula>$K4="已实现"</formula>
    </cfRule>
    <cfRule type="expression" priority="4" dxfId="3">
      <formula>$K4="开发中"</formula>
    </cfRule>
    <cfRule type="expression" priority="5" dxfId="4">
      <formula>$K4="暂缓"</formula>
    </cfRule>
  </conditionalFormatting>
  <conditionalFormatting sqref="L4:L10">
    <cfRule type="expression" priority="6" dxfId="5">
      <formula>$L4="未执行"</formula>
    </cfRule>
    <cfRule type="expression" priority="7" dxfId="2">
      <formula>$L4="通过"</formula>
    </cfRule>
    <cfRule type="expression" priority="8" dxfId="6">
      <formula>$L4="失败"</formula>
    </cfRule>
    <cfRule type="expression" priority="9" dxfId="6">
      <formula>$L4="阻塞"</formula>
    </cfRule>
    <cfRule type="expression" priority="10" dxfId="4">
      <formula>$L4="不适用"</formula>
    </cfRule>
  </conditionalFormatting>
  <conditionalFormatting sqref="M4:M10">
    <cfRule type="expression" priority="11" dxfId="2">
      <formula>$M4="是"</formula>
    </cfRule>
    <cfRule type="expression" priority="12" dxfId="6">
      <formula>$M4="否"</formula>
    </cfRule>
  </conditionalFormatting>
  <conditionalFormatting sqref="N4:N10">
    <cfRule type="expression" priority="13" dxfId="6">
      <formula>$N4="阻塞"</formula>
    </cfRule>
    <cfRule type="expression" priority="14" dxfId="6">
      <formula>$N4="高"</formula>
    </cfRule>
    <cfRule type="expression" priority="15" dxfId="7">
      <formula>$N4="中"</formula>
    </cfRule>
    <cfRule type="expression" priority="16" dxfId="5">
      <formula>$N4="低"</formula>
    </cfRule>
    <cfRule type="expression" priority="17" dxfId="4">
      <formula>$N4="轻微"</formula>
    </cfRule>
  </conditionalFormatting>
  <conditionalFormatting sqref="Q4:Q10">
    <cfRule type="expression" priority="18" dxfId="2">
      <formula>$Q4="已完成"</formula>
    </cfRule>
    <cfRule type="expression" priority="19" dxfId="8">
      <formula>$Q4="待讨论"</formula>
    </cfRule>
    <cfRule type="expression" priority="20" dxfId="4">
      <formula>$Q4="暂不修复"</formula>
    </cfRule>
  </conditionalFormatting>
  <conditionalFormatting sqref="R4:R10">
    <cfRule type="expression" priority="21" dxfId="2">
      <formula>$R4="通过"</formula>
    </cfRule>
    <cfRule type="expression" priority="22" dxfId="6">
      <formula>$R4="不通过"</formula>
    </cfRule>
  </conditionalFormatting>
  <dataValidations count="8">
    <dataValidation sqref="D4:D10" showDropDown="0" showInputMessage="1" showErrorMessage="1" allowBlank="1" errorTitle="选项无效" error="请从下拉列表中选择。" promptTitle="请选择" prompt="选择优先级" type="list" errorStyle="stop">
      <formula1>"P0,P1,P2,P3"</formula1>
    </dataValidation>
    <dataValidation sqref="E4:E10" showDropDown="0" showInputMessage="1" showErrorMessage="1" allowBlank="1" errorTitle="选项无效" error="请从下拉列表中选择。" promptTitle="请选择" prompt="选择自动化层级" type="list" errorStyle="stop">
      <formula1>"API,UI,混合"</formula1>
    </dataValidation>
    <dataValidation sqref="K4:K10" showDropDown="0" showInputMessage="1" showErrorMessage="1" allowBlank="1" errorTitle="选项无效" error="请从下拉列表中选择。" promptTitle="请选择" prompt="选择脚本状态" type="list" errorStyle="stop">
      <formula1>"待实现,开发中,已实现,暂缓"</formula1>
    </dataValidation>
    <dataValidation sqref="L4:L10" showDropDown="0" showInputMessage="1" showErrorMessage="1" allowBlank="1" errorTitle="选项无效" error="请从下拉列表中选择。" promptTitle="请选择" prompt="选择执行状态" type="list" errorStyle="stop">
      <formula1>"未执行,通过,失败,阻塞,不适用"</formula1>
    </dataValidation>
    <dataValidation sqref="M4:M10" showDropDown="0" showInputMessage="1" showErrorMessage="1" allowBlank="1" errorTitle="选项无效" error="请从下拉列表中选择。" promptTitle="请选择" prompt="选择是否通过" type="list" errorStyle="stop">
      <formula1>"是,否"</formula1>
    </dataValidation>
    <dataValidation sqref="N4:N10" showDropDown="0" showInputMessage="1" showErrorMessage="1" allowBlank="1" errorTitle="选项无效" error="请从下拉列表中选择。" promptTitle="请选择" prompt="选择缺陷等级" type="list" errorStyle="stop">
      <formula1>"阻塞,高,中,低,轻微"</formula1>
    </dataValidation>
    <dataValidation sqref="Q4:Q10" showDropDown="0" showInputMessage="1" showErrorMessage="1" allowBlank="1" errorTitle="选项无效" error="请从下拉列表中选择。" promptTitle="请选择" prompt="选择修复情况" type="list" errorStyle="stop">
      <formula1>"已完成,待讨论,暂不修复"</formula1>
    </dataValidation>
    <dataValidation sqref="R4:R10" showDropDown="0" showInputMessage="1" showErrorMessage="1" allowBlank="1" errorTitle="选项无效" error="请从下拉列表中选择。" promptTitle="请选择" prompt="选择回归情况" type="list" errorStyle="stop">
      <formula1>"通过,不通过"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16808A"/>
    <outlinePr summaryBelow="1" summaryRight="1"/>
    <pageSetUpPr fitToPage="1"/>
  </sheetPr>
  <dimension ref="A1:R8"/>
  <sheetViews>
    <sheetView showGridLines="0" zoomScale="75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34" customWidth="1" min="3" max="3"/>
    <col width="9" customWidth="1" min="4" max="4"/>
    <col width="13" customWidth="1" min="5" max="5"/>
    <col width="30" customWidth="1" min="6" max="6"/>
    <col width="42" customWidth="1" min="7" max="7"/>
    <col width="44" customWidth="1" min="8" max="8"/>
    <col width="46" customWidth="1" min="9" max="9"/>
    <col width="42" customWidth="1" min="10" max="10"/>
    <col width="12" customWidth="1" min="11" max="11"/>
    <col width="12" customWidth="1" min="12" max="12"/>
    <col width="10" customWidth="1" min="13" max="13"/>
    <col width="11" customWidth="1" min="14" max="14"/>
    <col width="34" customWidth="1" min="15" max="15"/>
    <col width="28" customWidth="1" min="16" max="16"/>
    <col width="13" customWidth="1" min="17" max="17"/>
    <col width="11" customWidth="1" min="18" max="18"/>
  </cols>
  <sheetData>
    <row r="1" ht="36" customHeight="1">
      <c r="A1" s="1" t="inlineStr">
        <is>
          <t>4.4 登录注册自动化测试用例｜忘记密码</t>
        </is>
      </c>
    </row>
    <row r="2" ht="26" customHeight="1">
      <c r="A2" s="12" t="inlineStr">
        <is>
          <t>来源：文档/4-需求文档/4.4 登录注册.md　｜　范围：参数化校验、接口规则、安全与并发场景　｜　忘记密码：5 条</t>
        </is>
      </c>
    </row>
    <row r="3" ht="34" customHeight="1">
      <c r="A3" s="7" t="inlineStr">
        <is>
          <t>用例编号</t>
        </is>
      </c>
      <c r="B3" s="7" t="inlineStr">
        <is>
          <t>功能模块</t>
        </is>
      </c>
      <c r="C3" s="7" t="inlineStr">
        <is>
          <t>用例标题</t>
        </is>
      </c>
      <c r="D3" s="7" t="inlineStr">
        <is>
          <t>优先级</t>
        </is>
      </c>
      <c r="E3" s="7" t="inlineStr">
        <is>
          <t>自动化层级</t>
        </is>
      </c>
      <c r="F3" s="7" t="inlineStr">
        <is>
          <t>前置数据/Mock</t>
        </is>
      </c>
      <c r="G3" s="7" t="inlineStr">
        <is>
          <t>参数化测试数据</t>
        </is>
      </c>
      <c r="H3" s="7" t="inlineStr">
        <is>
          <t>自动化步骤</t>
        </is>
      </c>
      <c r="I3" s="7" t="inlineStr">
        <is>
          <t>断言</t>
        </is>
      </c>
      <c r="J3" s="7" t="inlineStr">
        <is>
          <t>建议脚本路径</t>
        </is>
      </c>
      <c r="K3" s="7" t="inlineStr">
        <is>
          <t>脚本状态</t>
        </is>
      </c>
      <c r="L3" s="7" t="inlineStr">
        <is>
          <t>执行状态</t>
        </is>
      </c>
      <c r="M3" s="7" t="inlineStr">
        <is>
          <t>是否通过</t>
        </is>
      </c>
      <c r="N3" s="7" t="inlineStr">
        <is>
          <t>缺陷等级</t>
        </is>
      </c>
      <c r="O3" s="7" t="inlineStr">
        <is>
          <t>实际结果</t>
        </is>
      </c>
      <c r="P3" s="7" t="inlineStr">
        <is>
          <t>备注</t>
        </is>
      </c>
      <c r="Q3" s="7" t="inlineStr">
        <is>
          <t>修复情况</t>
        </is>
      </c>
      <c r="R3" s="7" t="inlineStr">
        <is>
          <t>回归情况</t>
        </is>
      </c>
    </row>
    <row r="4" ht="96" customHeight="1">
      <c r="A4" s="13" t="inlineStr">
        <is>
          <t>AUT-RST-001</t>
        </is>
      </c>
      <c r="B4" s="14" t="inlineStr">
        <is>
          <t>新密码规则</t>
        </is>
      </c>
      <c r="C4" s="14" t="inlineStr">
        <is>
          <t>重置密码复用新建密码策略</t>
        </is>
      </c>
      <c r="D4" s="13" t="inlineStr">
        <is>
          <t>P1</t>
        </is>
      </c>
      <c r="E4" s="13" t="inlineStr">
        <is>
          <t>API</t>
        </is>
      </c>
      <c r="F4" s="14" t="inlineStr">
        <is>
          <t>邮箱和重置挑战有效</t>
        </is>
      </c>
      <c r="G4" s="14" t="inlineStr">
        <is>
          <t>长度、组成、非法字符、确认不一致参数集</t>
        </is>
      </c>
      <c r="H4" s="14" t="inlineStr">
        <is>
          <t>逐组提交重置</t>
        </is>
      </c>
      <c r="I4" s="14" t="inlineStr">
        <is>
          <t>非法组拒绝且不消费验证码、不修改密码；合法组成功</t>
        </is>
      </c>
      <c r="J4" s="13" t="inlineStr">
        <is>
          <t>api/tests/auth/reset-password-policy.spec.ts</t>
        </is>
      </c>
      <c r="K4" s="15" t="inlineStr">
        <is>
          <t>待实现</t>
        </is>
      </c>
      <c r="L4" s="15" t="inlineStr">
        <is>
          <t>未执行</t>
        </is>
      </c>
      <c r="M4" s="15" t="inlineStr"/>
      <c r="N4" s="15" t="inlineStr"/>
      <c r="O4" s="16" t="inlineStr"/>
      <c r="P4" s="16" t="inlineStr"/>
      <c r="Q4" s="15" t="inlineStr"/>
      <c r="R4" s="15" t="inlineStr"/>
    </row>
    <row r="5" ht="96" customHeight="1">
      <c r="A5" s="13" t="inlineStr">
        <is>
          <t>AUT-RST-002</t>
        </is>
      </c>
      <c r="B5" s="14" t="inlineStr">
        <is>
          <t>验证码异常</t>
        </is>
      </c>
      <c r="C5" s="14" t="inlineStr">
        <is>
          <t>错误、过期、已使用及不匹配验证码不能重置</t>
        </is>
      </c>
      <c r="D5" s="13" t="inlineStr">
        <is>
          <t>P0</t>
        </is>
      </c>
      <c r="E5" s="13" t="inlineStr">
        <is>
          <t>API</t>
        </is>
      </c>
      <c r="F5" s="14" t="inlineStr">
        <is>
          <t>准备各类挑战状态</t>
        </is>
      </c>
      <c r="G5" s="14" t="inlineStr">
        <is>
          <t>wrong/expired/used/email-mismatch/purpose-mismatch</t>
        </is>
      </c>
      <c r="H5" s="14" t="inlineStr">
        <is>
          <t>参数化提交</t>
        </is>
      </c>
      <c r="I5" s="14" t="inlineStr">
        <is>
          <t>均返回可识别业务错误；密码、会话和挑战状态不出现错误部分更新</t>
        </is>
      </c>
      <c r="J5" s="13" t="inlineStr">
        <is>
          <t>api/tests/auth/reset-code.spec.ts</t>
        </is>
      </c>
      <c r="K5" s="15" t="inlineStr">
        <is>
          <t>待实现</t>
        </is>
      </c>
      <c r="L5" s="15" t="inlineStr">
        <is>
          <t>未执行</t>
        </is>
      </c>
      <c r="M5" s="15" t="inlineStr"/>
      <c r="N5" s="15" t="inlineStr"/>
      <c r="O5" s="16" t="inlineStr"/>
      <c r="P5" s="16" t="inlineStr"/>
      <c r="Q5" s="15" t="inlineStr"/>
      <c r="R5" s="15" t="inlineStr"/>
    </row>
    <row r="6" ht="96" customHeight="1">
      <c r="A6" s="13" t="inlineStr">
        <is>
          <t>AUT-RST-003</t>
        </is>
      </c>
      <c r="B6" s="14" t="inlineStr">
        <is>
          <t>账号隐私</t>
        </is>
      </c>
      <c r="C6" s="14" t="inlineStr">
        <is>
          <t>未注册邮箱不能形成可完成的重置资格</t>
        </is>
      </c>
      <c r="D6" s="13" t="inlineStr">
        <is>
          <t>P0</t>
        </is>
      </c>
      <c r="E6" s="13" t="inlineStr">
        <is>
          <t>API</t>
        </is>
      </c>
      <c r="F6" s="14" t="inlineStr">
        <is>
          <t>准备未注册邮箱</t>
        </is>
      </c>
      <c r="G6" s="14" t="inlineStr">
        <is>
          <t>任意六位验证码</t>
        </is>
      </c>
      <c r="H6" s="14" t="inlineStr">
        <is>
          <t>请求验证码后提交重置</t>
        </is>
      </c>
      <c r="I6" s="14" t="inlineStr">
        <is>
          <t>发送响应不暴露账号状态；后续任何验证码均不能修改任意账号</t>
        </is>
      </c>
      <c r="J6" s="13" t="inlineStr">
        <is>
          <t>api/tests/auth/reset-privacy.spec.ts</t>
        </is>
      </c>
      <c r="K6" s="15" t="inlineStr">
        <is>
          <t>待实现</t>
        </is>
      </c>
      <c r="L6" s="15" t="inlineStr">
        <is>
          <t>未执行</t>
        </is>
      </c>
      <c r="M6" s="15" t="inlineStr"/>
      <c r="N6" s="15" t="inlineStr"/>
      <c r="O6" s="16" t="inlineStr"/>
      <c r="P6" s="16" t="inlineStr"/>
      <c r="Q6" s="15" t="inlineStr"/>
      <c r="R6" s="15" t="inlineStr"/>
    </row>
    <row r="7" ht="96" customHeight="1">
      <c r="A7" s="13" t="inlineStr">
        <is>
          <t>AUT-RST-004</t>
        </is>
      </c>
      <c r="B7" s="14" t="inlineStr">
        <is>
          <t>账号级撤销</t>
        </is>
      </c>
      <c r="C7" s="14" t="inlineStr">
        <is>
          <t>密码更新与全部会话撤销保持原子</t>
        </is>
      </c>
      <c r="D7" s="13" t="inlineStr">
        <is>
          <t>P0</t>
        </is>
      </c>
      <c r="E7" s="13" t="inlineStr">
        <is>
          <t>API</t>
        </is>
      </c>
      <c r="F7" s="14" t="inlineStr">
        <is>
          <t>账号有多个会话，可注入撤销失败</t>
        </is>
      </c>
      <c r="G7" s="14" t="inlineStr">
        <is>
          <t>正常成功/撤销失败</t>
        </is>
      </c>
      <c r="H7" s="14" t="inlineStr">
        <is>
          <t>提交重置并验证密码和各会话</t>
        </is>
      </c>
      <c r="I7" s="14" t="inlineStr">
        <is>
          <t>正常成功时旧密码和全部旧会话失效；撤销失败时密码也保持原值，不返回成功</t>
        </is>
      </c>
      <c r="J7" s="13" t="inlineStr">
        <is>
          <t>api/tests/auth/reset-atomicity.spec.ts</t>
        </is>
      </c>
      <c r="K7" s="15" t="inlineStr">
        <is>
          <t>待实现</t>
        </is>
      </c>
      <c r="L7" s="15" t="inlineStr">
        <is>
          <t>未执行</t>
        </is>
      </c>
      <c r="M7" s="15" t="inlineStr"/>
      <c r="N7" s="15" t="inlineStr"/>
      <c r="O7" s="16" t="inlineStr"/>
      <c r="P7" s="16" t="inlineStr"/>
      <c r="Q7" s="15" t="inlineStr"/>
      <c r="R7" s="15" t="inlineStr"/>
    </row>
    <row r="8" ht="96" customHeight="1">
      <c r="A8" s="13" t="inlineStr">
        <is>
          <t>AUT-RST-005</t>
        </is>
      </c>
      <c r="B8" s="14" t="inlineStr">
        <is>
          <t>重置并发</t>
        </is>
      </c>
      <c r="C8" s="14" t="inlineStr">
        <is>
          <t>重复重置提交只消费一次验证码</t>
        </is>
      </c>
      <c r="D8" s="13" t="inlineStr">
        <is>
          <t>P0</t>
        </is>
      </c>
      <c r="E8" s="13" t="inlineStr">
        <is>
          <t>API</t>
        </is>
      </c>
      <c r="F8" s="14" t="inlineStr">
        <is>
          <t>有效重置挑战</t>
        </is>
      </c>
      <c r="G8" s="14" t="inlineStr">
        <is>
          <t>2个/5个并发相同请求</t>
        </is>
      </c>
      <c r="H8" s="14" t="inlineStr">
        <is>
          <t>并发提交</t>
        </is>
      </c>
      <c r="I8" s="14" t="inlineStr">
        <is>
          <t>最多一个成功；验证码只消费一次；最终密码状态唯一；其余返回已使用或冲突</t>
        </is>
      </c>
      <c r="J8" s="13" t="inlineStr">
        <is>
          <t>api/tests/auth/reset-concurrency.spec.ts</t>
        </is>
      </c>
      <c r="K8" s="15" t="inlineStr">
        <is>
          <t>待实现</t>
        </is>
      </c>
      <c r="L8" s="15" t="inlineStr">
        <is>
          <t>未执行</t>
        </is>
      </c>
      <c r="M8" s="15" t="inlineStr"/>
      <c r="N8" s="15" t="inlineStr"/>
      <c r="O8" s="16" t="inlineStr"/>
      <c r="P8" s="16" t="inlineStr"/>
      <c r="Q8" s="15" t="inlineStr"/>
      <c r="R8" s="15" t="inlineStr"/>
    </row>
  </sheetData>
  <autoFilter ref="A3:R8"/>
  <mergeCells count="2">
    <mergeCell ref="A2:R2"/>
    <mergeCell ref="A1:R1"/>
  </mergeCells>
  <conditionalFormatting sqref="D4:D8">
    <cfRule type="expression" priority="1" dxfId="0">
      <formula>$D4="P0"</formula>
    </cfRule>
    <cfRule type="expression" priority="2" dxfId="1">
      <formula>$D4="P1"</formula>
    </cfRule>
  </conditionalFormatting>
  <conditionalFormatting sqref="K4:K8">
    <cfRule type="expression" priority="3" dxfId="2">
      <formula>$K4="已实现"</formula>
    </cfRule>
    <cfRule type="expression" priority="4" dxfId="3">
      <formula>$K4="开发中"</formula>
    </cfRule>
    <cfRule type="expression" priority="5" dxfId="4">
      <formula>$K4="暂缓"</formula>
    </cfRule>
  </conditionalFormatting>
  <conditionalFormatting sqref="L4:L8">
    <cfRule type="expression" priority="6" dxfId="5">
      <formula>$L4="未执行"</formula>
    </cfRule>
    <cfRule type="expression" priority="7" dxfId="2">
      <formula>$L4="通过"</formula>
    </cfRule>
    <cfRule type="expression" priority="8" dxfId="6">
      <formula>$L4="失败"</formula>
    </cfRule>
    <cfRule type="expression" priority="9" dxfId="6">
      <formula>$L4="阻塞"</formula>
    </cfRule>
    <cfRule type="expression" priority="10" dxfId="4">
      <formula>$L4="不适用"</formula>
    </cfRule>
  </conditionalFormatting>
  <conditionalFormatting sqref="M4:M8">
    <cfRule type="expression" priority="11" dxfId="2">
      <formula>$M4="是"</formula>
    </cfRule>
    <cfRule type="expression" priority="12" dxfId="6">
      <formula>$M4="否"</formula>
    </cfRule>
  </conditionalFormatting>
  <conditionalFormatting sqref="N4:N8">
    <cfRule type="expression" priority="13" dxfId="6">
      <formula>$N4="阻塞"</formula>
    </cfRule>
    <cfRule type="expression" priority="14" dxfId="6">
      <formula>$N4="高"</formula>
    </cfRule>
    <cfRule type="expression" priority="15" dxfId="7">
      <formula>$N4="中"</formula>
    </cfRule>
    <cfRule type="expression" priority="16" dxfId="5">
      <formula>$N4="低"</formula>
    </cfRule>
    <cfRule type="expression" priority="17" dxfId="4">
      <formula>$N4="轻微"</formula>
    </cfRule>
  </conditionalFormatting>
  <conditionalFormatting sqref="Q4:Q8">
    <cfRule type="expression" priority="18" dxfId="2">
      <formula>$Q4="已完成"</formula>
    </cfRule>
    <cfRule type="expression" priority="19" dxfId="8">
      <formula>$Q4="待讨论"</formula>
    </cfRule>
    <cfRule type="expression" priority="20" dxfId="4">
      <formula>$Q4="暂不修复"</formula>
    </cfRule>
  </conditionalFormatting>
  <conditionalFormatting sqref="R4:R8">
    <cfRule type="expression" priority="21" dxfId="2">
      <formula>$R4="通过"</formula>
    </cfRule>
    <cfRule type="expression" priority="22" dxfId="6">
      <formula>$R4="不通过"</formula>
    </cfRule>
  </conditionalFormatting>
  <dataValidations count="8">
    <dataValidation sqref="D4:D8" showDropDown="0" showInputMessage="1" showErrorMessage="1" allowBlank="1" errorTitle="选项无效" error="请从下拉列表中选择。" promptTitle="请选择" prompt="选择优先级" type="list" errorStyle="stop">
      <formula1>"P0,P1,P2,P3"</formula1>
    </dataValidation>
    <dataValidation sqref="E4:E8" showDropDown="0" showInputMessage="1" showErrorMessage="1" allowBlank="1" errorTitle="选项无效" error="请从下拉列表中选择。" promptTitle="请选择" prompt="选择自动化层级" type="list" errorStyle="stop">
      <formula1>"API,UI,混合"</formula1>
    </dataValidation>
    <dataValidation sqref="K4:K8" showDropDown="0" showInputMessage="1" showErrorMessage="1" allowBlank="1" errorTitle="选项无效" error="请从下拉列表中选择。" promptTitle="请选择" prompt="选择脚本状态" type="list" errorStyle="stop">
      <formula1>"待实现,开发中,已实现,暂缓"</formula1>
    </dataValidation>
    <dataValidation sqref="L4:L8" showDropDown="0" showInputMessage="1" showErrorMessage="1" allowBlank="1" errorTitle="选项无效" error="请从下拉列表中选择。" promptTitle="请选择" prompt="选择执行状态" type="list" errorStyle="stop">
      <formula1>"未执行,通过,失败,阻塞,不适用"</formula1>
    </dataValidation>
    <dataValidation sqref="M4:M8" showDropDown="0" showInputMessage="1" showErrorMessage="1" allowBlank="1" errorTitle="选项无效" error="请从下拉列表中选择。" promptTitle="请选择" prompt="选择是否通过" type="list" errorStyle="stop">
      <formula1>"是,否"</formula1>
    </dataValidation>
    <dataValidation sqref="N4:N8" showDropDown="0" showInputMessage="1" showErrorMessage="1" allowBlank="1" errorTitle="选项无效" error="请从下拉列表中选择。" promptTitle="请选择" prompt="选择缺陷等级" type="list" errorStyle="stop">
      <formula1>"阻塞,高,中,低,轻微"</formula1>
    </dataValidation>
    <dataValidation sqref="Q4:Q8" showDropDown="0" showInputMessage="1" showErrorMessage="1" allowBlank="1" errorTitle="选项无效" error="请从下拉列表中选择。" promptTitle="请选择" prompt="选择修复情况" type="list" errorStyle="stop">
      <formula1>"已完成,待讨论,暂不修复"</formula1>
    </dataValidation>
    <dataValidation sqref="R4:R8" showDropDown="0" showInputMessage="1" showErrorMessage="1" allowBlank="1" errorTitle="选项无效" error="请从下拉列表中选择。" promptTitle="请选择" prompt="选择回归情况" type="list" errorStyle="stop">
      <formula1>"通过,不通过"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16808A"/>
    <outlinePr summaryBelow="1" summaryRight="1"/>
    <pageSetUpPr fitToPage="1"/>
  </sheetPr>
  <dimension ref="A1:R8"/>
  <sheetViews>
    <sheetView showGridLines="0" zoomScale="75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34" customWidth="1" min="3" max="3"/>
    <col width="9" customWidth="1" min="4" max="4"/>
    <col width="13" customWidth="1" min="5" max="5"/>
    <col width="30" customWidth="1" min="6" max="6"/>
    <col width="42" customWidth="1" min="7" max="7"/>
    <col width="44" customWidth="1" min="8" max="8"/>
    <col width="46" customWidth="1" min="9" max="9"/>
    <col width="42" customWidth="1" min="10" max="10"/>
    <col width="12" customWidth="1" min="11" max="11"/>
    <col width="12" customWidth="1" min="12" max="12"/>
    <col width="10" customWidth="1" min="13" max="13"/>
    <col width="11" customWidth="1" min="14" max="14"/>
    <col width="34" customWidth="1" min="15" max="15"/>
    <col width="28" customWidth="1" min="16" max="16"/>
    <col width="13" customWidth="1" min="17" max="17"/>
    <col width="11" customWidth="1" min="18" max="18"/>
  </cols>
  <sheetData>
    <row r="1" ht="36" customHeight="1">
      <c r="A1" s="1" t="inlineStr">
        <is>
          <t>4.4 登录注册自动化测试用例｜会话与退出</t>
        </is>
      </c>
    </row>
    <row r="2" ht="26" customHeight="1">
      <c r="A2" s="12" t="inlineStr">
        <is>
          <t>来源：文档/4-需求文档/4.4 登录注册.md　｜　范围：参数化校验、接口规则、安全与并发场景　｜　会话与退出：5 条</t>
        </is>
      </c>
    </row>
    <row r="3" ht="34" customHeight="1">
      <c r="A3" s="7" t="inlineStr">
        <is>
          <t>用例编号</t>
        </is>
      </c>
      <c r="B3" s="7" t="inlineStr">
        <is>
          <t>功能模块</t>
        </is>
      </c>
      <c r="C3" s="7" t="inlineStr">
        <is>
          <t>用例标题</t>
        </is>
      </c>
      <c r="D3" s="7" t="inlineStr">
        <is>
          <t>优先级</t>
        </is>
      </c>
      <c r="E3" s="7" t="inlineStr">
        <is>
          <t>自动化层级</t>
        </is>
      </c>
      <c r="F3" s="7" t="inlineStr">
        <is>
          <t>前置数据/Mock</t>
        </is>
      </c>
      <c r="G3" s="7" t="inlineStr">
        <is>
          <t>参数化测试数据</t>
        </is>
      </c>
      <c r="H3" s="7" t="inlineStr">
        <is>
          <t>自动化步骤</t>
        </is>
      </c>
      <c r="I3" s="7" t="inlineStr">
        <is>
          <t>断言</t>
        </is>
      </c>
      <c r="J3" s="7" t="inlineStr">
        <is>
          <t>建议脚本路径</t>
        </is>
      </c>
      <c r="K3" s="7" t="inlineStr">
        <is>
          <t>脚本状态</t>
        </is>
      </c>
      <c r="L3" s="7" t="inlineStr">
        <is>
          <t>执行状态</t>
        </is>
      </c>
      <c r="M3" s="7" t="inlineStr">
        <is>
          <t>是否通过</t>
        </is>
      </c>
      <c r="N3" s="7" t="inlineStr">
        <is>
          <t>缺陷等级</t>
        </is>
      </c>
      <c r="O3" s="7" t="inlineStr">
        <is>
          <t>实际结果</t>
        </is>
      </c>
      <c r="P3" s="7" t="inlineStr">
        <is>
          <t>备注</t>
        </is>
      </c>
      <c r="Q3" s="7" t="inlineStr">
        <is>
          <t>修复情况</t>
        </is>
      </c>
      <c r="R3" s="7" t="inlineStr">
        <is>
          <t>回归情况</t>
        </is>
      </c>
    </row>
    <row r="4" ht="96" customHeight="1">
      <c r="A4" s="13" t="inlineStr">
        <is>
          <t>AUT-SES-001</t>
        </is>
      </c>
      <c r="B4" s="14" t="inlineStr">
        <is>
          <t>滑动过期</t>
        </is>
      </c>
      <c r="C4" s="14" t="inlineStr">
        <is>
          <t>七天空闲窗口及续期触发条件</t>
        </is>
      </c>
      <c r="D4" s="13" t="inlineStr">
        <is>
          <t>P0</t>
        </is>
      </c>
      <c r="E4" s="13" t="inlineStr">
        <is>
          <t>API</t>
        </is>
      </c>
      <c r="F4" s="14" t="inlineStr">
        <is>
          <t>使用假时钟和有效会话</t>
        </is>
      </c>
      <c r="G4" s="14" t="inlineStr">
        <is>
          <t>成功恢复/公开浏览/页面停留/7天边界</t>
        </is>
      </c>
      <c r="H4" s="14" t="inlineStr">
        <is>
          <t>推进时间并调用对应接口</t>
        </is>
      </c>
      <c r="I4" s="14" t="inlineStr">
        <is>
          <t>仅成功恢复或身份刷新顺延；普通活动不续期；超过窗口不可恢复</t>
        </is>
      </c>
      <c r="J4" s="13" t="inlineStr">
        <is>
          <t>api/tests/auth/session-expiry.spec.ts</t>
        </is>
      </c>
      <c r="K4" s="15" t="inlineStr">
        <is>
          <t>待实现</t>
        </is>
      </c>
      <c r="L4" s="15" t="inlineStr">
        <is>
          <t>未执行</t>
        </is>
      </c>
      <c r="M4" s="15" t="inlineStr"/>
      <c r="N4" s="15" t="inlineStr"/>
      <c r="O4" s="16" t="inlineStr"/>
      <c r="P4" s="16" t="inlineStr"/>
      <c r="Q4" s="15" t="inlineStr"/>
      <c r="R4" s="15" t="inlineStr"/>
    </row>
    <row r="5" ht="96" customHeight="1">
      <c r="A5" s="13" t="inlineStr">
        <is>
          <t>AUT-SES-002</t>
        </is>
      </c>
      <c r="B5" s="14" t="inlineStr">
        <is>
          <t>并发刷新</t>
        </is>
      </c>
      <c r="C5" s="14" t="inlineStr">
        <is>
          <t>多个过期请求只触发一次身份恢复</t>
        </is>
      </c>
      <c r="D5" s="13" t="inlineStr">
        <is>
          <t>P0</t>
        </is>
      </c>
      <c r="E5" s="13" t="inlineStr">
        <is>
          <t>混合</t>
        </is>
      </c>
      <c r="F5" s="14" t="inlineStr">
        <is>
          <t>短期凭证过期、会话有效，拦截恢复接口计数</t>
        </is>
      </c>
      <c r="G5" s="14" t="inlineStr">
        <is>
          <t>并发2/10个受保护请求</t>
        </is>
      </c>
      <c r="H5" s="14" t="inlineStr">
        <is>
          <t>同时发起请求</t>
        </is>
      </c>
      <c r="I5" s="14" t="inlineStr">
        <is>
          <t>仅一次恢复调用；其余复用结果；无重复跳转和提示</t>
        </is>
      </c>
      <c r="J5" s="13" t="inlineStr">
        <is>
          <t>quiz-web/e2e/auth/session-refresh.spec.ts</t>
        </is>
      </c>
      <c r="K5" s="15" t="inlineStr">
        <is>
          <t>待实现</t>
        </is>
      </c>
      <c r="L5" s="15" t="inlineStr">
        <is>
          <t>未执行</t>
        </is>
      </c>
      <c r="M5" s="15" t="inlineStr"/>
      <c r="N5" s="15" t="inlineStr"/>
      <c r="O5" s="16" t="inlineStr"/>
      <c r="P5" s="16" t="inlineStr"/>
      <c r="Q5" s="15" t="inlineStr"/>
      <c r="R5" s="15" t="inlineStr"/>
    </row>
    <row r="6" ht="96" customHeight="1">
      <c r="A6" s="13" t="inlineStr">
        <is>
          <t>AUT-SES-003</t>
        </is>
      </c>
      <c r="B6" s="14" t="inlineStr">
        <is>
          <t>多设备独立</t>
        </is>
      </c>
      <c r="C6" s="14" t="inlineStr">
        <is>
          <t>一个设备续期或退出不影响其他设备</t>
        </is>
      </c>
      <c r="D6" s="13" t="inlineStr">
        <is>
          <t>P0</t>
        </is>
      </c>
      <c r="E6" s="13" t="inlineStr">
        <is>
          <t>API</t>
        </is>
      </c>
      <c r="F6" s="14" t="inlineStr">
        <is>
          <t>同账号创建设备A、B会话</t>
        </is>
      </c>
      <c r="G6" s="14" t="inlineStr">
        <is>
          <t>A续期/A退出/B访问</t>
        </is>
      </c>
      <c r="H6" s="14" t="inlineStr">
        <is>
          <t>按顺序调用会话接口</t>
        </is>
      </c>
      <c r="I6" s="14" t="inlineStr">
        <is>
          <t>A操作只改变A会话；B到期时间与有效状态按自身活动计算</t>
        </is>
      </c>
      <c r="J6" s="13" t="inlineStr">
        <is>
          <t>api/tests/auth/session-device.spec.ts</t>
        </is>
      </c>
      <c r="K6" s="15" t="inlineStr">
        <is>
          <t>待实现</t>
        </is>
      </c>
      <c r="L6" s="15" t="inlineStr">
        <is>
          <t>未执行</t>
        </is>
      </c>
      <c r="M6" s="15" t="inlineStr"/>
      <c r="N6" s="15" t="inlineStr"/>
      <c r="O6" s="16" t="inlineStr"/>
      <c r="P6" s="16" t="inlineStr"/>
      <c r="Q6" s="15" t="inlineStr"/>
      <c r="R6" s="15" t="inlineStr"/>
    </row>
    <row r="7" ht="96" customHeight="1">
      <c r="A7" s="13" t="inlineStr">
        <is>
          <t>AUT-SES-004</t>
        </is>
      </c>
      <c r="B7" s="14" t="inlineStr">
        <is>
          <t>统一失效</t>
        </is>
      </c>
      <c r="C7" s="14" t="inlineStr">
        <is>
          <t>过期、撤销和凭证异常统一清理</t>
        </is>
      </c>
      <c r="D7" s="13" t="inlineStr">
        <is>
          <t>P0</t>
        </is>
      </c>
      <c r="E7" s="13" t="inlineStr">
        <is>
          <t>混合</t>
        </is>
      </c>
      <c r="F7" s="14" t="inlineStr">
        <is>
          <t>分别构造三种失效会话</t>
        </is>
      </c>
      <c r="G7" s="14" t="inlineStr">
        <is>
          <t>expired/revoked/credential-mismatch</t>
        </is>
      </c>
      <c r="H7" s="14" t="inlineStr">
        <is>
          <t>访问受保护接口并观察前端</t>
        </is>
      </c>
      <c r="I7" s="14" t="inlineStr">
        <is>
          <t>接口返回统一认证失效语义；前端清除身份和个人数据并回首页；不循环刷新</t>
        </is>
      </c>
      <c r="J7" s="13" t="inlineStr">
        <is>
          <t>quiz-web/e2e/auth/session-invalid.spec.ts</t>
        </is>
      </c>
      <c r="K7" s="15" t="inlineStr">
        <is>
          <t>待实现</t>
        </is>
      </c>
      <c r="L7" s="15" t="inlineStr">
        <is>
          <t>未执行</t>
        </is>
      </c>
      <c r="M7" s="15" t="inlineStr"/>
      <c r="N7" s="15" t="inlineStr"/>
      <c r="O7" s="16" t="inlineStr"/>
      <c r="P7" s="16" t="inlineStr"/>
      <c r="Q7" s="15" t="inlineStr"/>
      <c r="R7" s="15" t="inlineStr"/>
    </row>
    <row r="8" ht="96" customHeight="1">
      <c r="A8" s="13" t="inlineStr">
        <is>
          <t>AUT-SES-005</t>
        </is>
      </c>
      <c r="B8" s="14" t="inlineStr">
        <is>
          <t>错误隔离</t>
        </is>
      </c>
      <c r="C8" s="14" t="inlineStr">
        <is>
          <t>普通业务错误不被误判为登录失效</t>
        </is>
      </c>
      <c r="D8" s="13" t="inlineStr">
        <is>
          <t>P0</t>
        </is>
      </c>
      <c r="E8" s="13" t="inlineStr">
        <is>
          <t>混合</t>
        </is>
      </c>
      <c r="F8" s="14" t="inlineStr">
        <is>
          <t>有效会话，Mock会员不足、内容下线、网络错误</t>
        </is>
      </c>
      <c r="G8" s="14" t="inlineStr">
        <is>
          <t>三个普通业务错误</t>
        </is>
      </c>
      <c r="H8" s="14" t="inlineStr">
        <is>
          <t>发起业务请求</t>
        </is>
      </c>
      <c r="I8" s="14" t="inlineStr">
        <is>
          <t>会话与用户状态保持；页面显示对应业务错误；不跳登录、不清个人信息</t>
        </is>
      </c>
      <c r="J8" s="13" t="inlineStr">
        <is>
          <t>quiz-web/e2e/auth/session-error-isolation.spec.ts</t>
        </is>
      </c>
      <c r="K8" s="15" t="inlineStr">
        <is>
          <t>待实现</t>
        </is>
      </c>
      <c r="L8" s="15" t="inlineStr">
        <is>
          <t>未执行</t>
        </is>
      </c>
      <c r="M8" s="15" t="inlineStr"/>
      <c r="N8" s="15" t="inlineStr"/>
      <c r="O8" s="16" t="inlineStr"/>
      <c r="P8" s="16" t="inlineStr"/>
      <c r="Q8" s="15" t="inlineStr"/>
      <c r="R8" s="15" t="inlineStr"/>
    </row>
  </sheetData>
  <autoFilter ref="A3:R8"/>
  <mergeCells count="2">
    <mergeCell ref="A2:R2"/>
    <mergeCell ref="A1:R1"/>
  </mergeCells>
  <conditionalFormatting sqref="D4:D8">
    <cfRule type="expression" priority="1" dxfId="0">
      <formula>$D4="P0"</formula>
    </cfRule>
    <cfRule type="expression" priority="2" dxfId="1">
      <formula>$D4="P1"</formula>
    </cfRule>
  </conditionalFormatting>
  <conditionalFormatting sqref="K4:K8">
    <cfRule type="expression" priority="3" dxfId="2">
      <formula>$K4="已实现"</formula>
    </cfRule>
    <cfRule type="expression" priority="4" dxfId="3">
      <formula>$K4="开发中"</formula>
    </cfRule>
    <cfRule type="expression" priority="5" dxfId="4">
      <formula>$K4="暂缓"</formula>
    </cfRule>
  </conditionalFormatting>
  <conditionalFormatting sqref="L4:L8">
    <cfRule type="expression" priority="6" dxfId="5">
      <formula>$L4="未执行"</formula>
    </cfRule>
    <cfRule type="expression" priority="7" dxfId="2">
      <formula>$L4="通过"</formula>
    </cfRule>
    <cfRule type="expression" priority="8" dxfId="6">
      <formula>$L4="失败"</formula>
    </cfRule>
    <cfRule type="expression" priority="9" dxfId="6">
      <formula>$L4="阻塞"</formula>
    </cfRule>
    <cfRule type="expression" priority="10" dxfId="4">
      <formula>$L4="不适用"</formula>
    </cfRule>
  </conditionalFormatting>
  <conditionalFormatting sqref="M4:M8">
    <cfRule type="expression" priority="11" dxfId="2">
      <formula>$M4="是"</formula>
    </cfRule>
    <cfRule type="expression" priority="12" dxfId="6">
      <formula>$M4="否"</formula>
    </cfRule>
  </conditionalFormatting>
  <conditionalFormatting sqref="N4:N8">
    <cfRule type="expression" priority="13" dxfId="6">
      <formula>$N4="阻塞"</formula>
    </cfRule>
    <cfRule type="expression" priority="14" dxfId="6">
      <formula>$N4="高"</formula>
    </cfRule>
    <cfRule type="expression" priority="15" dxfId="7">
      <formula>$N4="中"</formula>
    </cfRule>
    <cfRule type="expression" priority="16" dxfId="5">
      <formula>$N4="低"</formula>
    </cfRule>
    <cfRule type="expression" priority="17" dxfId="4">
      <formula>$N4="轻微"</formula>
    </cfRule>
  </conditionalFormatting>
  <conditionalFormatting sqref="Q4:Q8">
    <cfRule type="expression" priority="18" dxfId="2">
      <formula>$Q4="已完成"</formula>
    </cfRule>
    <cfRule type="expression" priority="19" dxfId="8">
      <formula>$Q4="待讨论"</formula>
    </cfRule>
    <cfRule type="expression" priority="20" dxfId="4">
      <formula>$Q4="暂不修复"</formula>
    </cfRule>
  </conditionalFormatting>
  <conditionalFormatting sqref="R4:R8">
    <cfRule type="expression" priority="21" dxfId="2">
      <formula>$R4="通过"</formula>
    </cfRule>
    <cfRule type="expression" priority="22" dxfId="6">
      <formula>$R4="不通过"</formula>
    </cfRule>
  </conditionalFormatting>
  <dataValidations count="8">
    <dataValidation sqref="D4:D8" showDropDown="0" showInputMessage="1" showErrorMessage="1" allowBlank="1" errorTitle="选项无效" error="请从下拉列表中选择。" promptTitle="请选择" prompt="选择优先级" type="list" errorStyle="stop">
      <formula1>"P0,P1,P2,P3"</formula1>
    </dataValidation>
    <dataValidation sqref="E4:E8" showDropDown="0" showInputMessage="1" showErrorMessage="1" allowBlank="1" errorTitle="选项无效" error="请从下拉列表中选择。" promptTitle="请选择" prompt="选择自动化层级" type="list" errorStyle="stop">
      <formula1>"API,UI,混合"</formula1>
    </dataValidation>
    <dataValidation sqref="K4:K8" showDropDown="0" showInputMessage="1" showErrorMessage="1" allowBlank="1" errorTitle="选项无效" error="请从下拉列表中选择。" promptTitle="请选择" prompt="选择脚本状态" type="list" errorStyle="stop">
      <formula1>"待实现,开发中,已实现,暂缓"</formula1>
    </dataValidation>
    <dataValidation sqref="L4:L8" showDropDown="0" showInputMessage="1" showErrorMessage="1" allowBlank="1" errorTitle="选项无效" error="请从下拉列表中选择。" promptTitle="请选择" prompt="选择执行状态" type="list" errorStyle="stop">
      <formula1>"未执行,通过,失败,阻塞,不适用"</formula1>
    </dataValidation>
    <dataValidation sqref="M4:M8" showDropDown="0" showInputMessage="1" showErrorMessage="1" allowBlank="1" errorTitle="选项无效" error="请从下拉列表中选择。" promptTitle="请选择" prompt="选择是否通过" type="list" errorStyle="stop">
      <formula1>"是,否"</formula1>
    </dataValidation>
    <dataValidation sqref="N4:N8" showDropDown="0" showInputMessage="1" showErrorMessage="1" allowBlank="1" errorTitle="选项无效" error="请从下拉列表中选择。" promptTitle="请选择" prompt="选择缺陷等级" type="list" errorStyle="stop">
      <formula1>"阻塞,高,中,低,轻微"</formula1>
    </dataValidation>
    <dataValidation sqref="Q4:Q8" showDropDown="0" showInputMessage="1" showErrorMessage="1" allowBlank="1" errorTitle="选项无效" error="请从下拉列表中选择。" promptTitle="请选择" prompt="选择修复情况" type="list" errorStyle="stop">
      <formula1>"已完成,待讨论,暂不修复"</formula1>
    </dataValidation>
    <dataValidation sqref="R4:R8" showDropDown="0" showInputMessage="1" showErrorMessage="1" allowBlank="1" errorTitle="选项无效" error="请从下拉列表中选择。" promptTitle="请选择" prompt="选择回归情况" type="list" errorStyle="stop">
      <formula1>"通过,不通过"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16808A"/>
    <outlinePr summaryBelow="1" summaryRight="1"/>
    <pageSetUpPr fitToPage="1"/>
  </sheetPr>
  <dimension ref="A1:R8"/>
  <sheetViews>
    <sheetView showGridLines="0" zoomScale="75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34" customWidth="1" min="3" max="3"/>
    <col width="9" customWidth="1" min="4" max="4"/>
    <col width="13" customWidth="1" min="5" max="5"/>
    <col width="30" customWidth="1" min="6" max="6"/>
    <col width="42" customWidth="1" min="7" max="7"/>
    <col width="44" customWidth="1" min="8" max="8"/>
    <col width="46" customWidth="1" min="9" max="9"/>
    <col width="42" customWidth="1" min="10" max="10"/>
    <col width="12" customWidth="1" min="11" max="11"/>
    <col width="12" customWidth="1" min="12" max="12"/>
    <col width="10" customWidth="1" min="13" max="13"/>
    <col width="11" customWidth="1" min="14" max="14"/>
    <col width="34" customWidth="1" min="15" max="15"/>
    <col width="28" customWidth="1" min="16" max="16"/>
    <col width="13" customWidth="1" min="17" max="17"/>
    <col width="11" customWidth="1" min="18" max="18"/>
  </cols>
  <sheetData>
    <row r="1" ht="36" customHeight="1">
      <c r="A1" s="1" t="inlineStr">
        <is>
          <t>4.4 登录注册自动化测试用例｜权限与安全回跳</t>
        </is>
      </c>
    </row>
    <row r="2" ht="26" customHeight="1">
      <c r="A2" s="12" t="inlineStr">
        <is>
          <t>来源：文档/4-需求文档/4.4 登录注册.md　｜　范围：参数化校验、接口规则、安全与并发场景　｜　权限与安全回跳：5 条</t>
        </is>
      </c>
    </row>
    <row r="3" ht="34" customHeight="1">
      <c r="A3" s="7" t="inlineStr">
        <is>
          <t>用例编号</t>
        </is>
      </c>
      <c r="B3" s="7" t="inlineStr">
        <is>
          <t>功能模块</t>
        </is>
      </c>
      <c r="C3" s="7" t="inlineStr">
        <is>
          <t>用例标题</t>
        </is>
      </c>
      <c r="D3" s="7" t="inlineStr">
        <is>
          <t>优先级</t>
        </is>
      </c>
      <c r="E3" s="7" t="inlineStr">
        <is>
          <t>自动化层级</t>
        </is>
      </c>
      <c r="F3" s="7" t="inlineStr">
        <is>
          <t>前置数据/Mock</t>
        </is>
      </c>
      <c r="G3" s="7" t="inlineStr">
        <is>
          <t>参数化测试数据</t>
        </is>
      </c>
      <c r="H3" s="7" t="inlineStr">
        <is>
          <t>自动化步骤</t>
        </is>
      </c>
      <c r="I3" s="7" t="inlineStr">
        <is>
          <t>断言</t>
        </is>
      </c>
      <c r="J3" s="7" t="inlineStr">
        <is>
          <t>建议脚本路径</t>
        </is>
      </c>
      <c r="K3" s="7" t="inlineStr">
        <is>
          <t>脚本状态</t>
        </is>
      </c>
      <c r="L3" s="7" t="inlineStr">
        <is>
          <t>执行状态</t>
        </is>
      </c>
      <c r="M3" s="7" t="inlineStr">
        <is>
          <t>是否通过</t>
        </is>
      </c>
      <c r="N3" s="7" t="inlineStr">
        <is>
          <t>缺陷等级</t>
        </is>
      </c>
      <c r="O3" s="7" t="inlineStr">
        <is>
          <t>实际结果</t>
        </is>
      </c>
      <c r="P3" s="7" t="inlineStr">
        <is>
          <t>备注</t>
        </is>
      </c>
      <c r="Q3" s="7" t="inlineStr">
        <is>
          <t>修复情况</t>
        </is>
      </c>
      <c r="R3" s="7" t="inlineStr">
        <is>
          <t>回归情况</t>
        </is>
      </c>
    </row>
    <row r="4" ht="96" customHeight="1">
      <c r="A4" s="13" t="inlineStr">
        <is>
          <t>AUT-ACL-001</t>
        </is>
      </c>
      <c r="B4" s="14" t="inlineStr">
        <is>
          <t>公开路由</t>
        </is>
      </c>
      <c r="C4" s="14" t="inlineStr">
        <is>
          <t>访客公开路由矩阵</t>
        </is>
      </c>
      <c r="D4" s="13" t="inlineStr">
        <is>
          <t>P1</t>
        </is>
      </c>
      <c r="E4" s="13" t="inlineStr">
        <is>
          <t>UI</t>
        </is>
      </c>
      <c r="F4" s="14" t="inlineStr">
        <is>
          <t>清除登录状态</t>
        </is>
      </c>
      <c r="G4" s="14" t="inlineStr">
        <is>
          <t>首页/考试介绍/协议/诊断概览/题库概览</t>
        </is>
      </c>
      <c r="H4" s="14" t="inlineStr">
        <is>
          <t>参数化访问路由</t>
        </is>
      </c>
      <c r="I4" s="14" t="inlineStr">
        <is>
          <t>均返回可浏览页面且不跳登录；页面无个人数据</t>
        </is>
      </c>
      <c r="J4" s="13" t="inlineStr">
        <is>
          <t>quiz-web/e2e/auth/public-routes.spec.ts</t>
        </is>
      </c>
      <c r="K4" s="15" t="inlineStr">
        <is>
          <t>待实现</t>
        </is>
      </c>
      <c r="L4" s="15" t="inlineStr">
        <is>
          <t>未执行</t>
        </is>
      </c>
      <c r="M4" s="15" t="inlineStr"/>
      <c r="N4" s="15" t="inlineStr"/>
      <c r="O4" s="16" t="inlineStr"/>
      <c r="P4" s="16" t="inlineStr"/>
      <c r="Q4" s="15" t="inlineStr"/>
      <c r="R4" s="15" t="inlineStr"/>
    </row>
    <row r="5" ht="96" customHeight="1">
      <c r="A5" s="13" t="inlineStr">
        <is>
          <t>AUT-ACL-002</t>
        </is>
      </c>
      <c r="B5" s="14" t="inlineStr">
        <is>
          <t>受保护路由</t>
        </is>
      </c>
      <c r="C5" s="14" t="inlineStr">
        <is>
          <t>访客受保护路由矩阵</t>
        </is>
      </c>
      <c r="D5" s="13" t="inlineStr">
        <is>
          <t>P0</t>
        </is>
      </c>
      <c r="E5" s="13" t="inlineStr">
        <is>
          <t>混合</t>
        </is>
      </c>
      <c r="F5" s="14" t="inlineStr">
        <is>
          <t>清除登录状态并清理业务记录</t>
        </is>
      </c>
      <c r="G5" s="14" t="inlineStr">
        <is>
          <t>诊断/练习/错题/报告/个人中心/后台</t>
        </is>
      </c>
      <c r="H5" s="14" t="inlineStr">
        <is>
          <t>逐路由访问并查询副作用</t>
        </is>
      </c>
      <c r="I5" s="14" t="inlineStr">
        <is>
          <t>全部跳登录并记录安全目标；不提前创建记录或返回个人数据</t>
        </is>
      </c>
      <c r="J5" s="13" t="inlineStr">
        <is>
          <t>quiz-web/e2e/auth/protected-routes.spec.ts</t>
        </is>
      </c>
      <c r="K5" s="15" t="inlineStr">
        <is>
          <t>待实现</t>
        </is>
      </c>
      <c r="L5" s="15" t="inlineStr">
        <is>
          <t>未执行</t>
        </is>
      </c>
      <c r="M5" s="15" t="inlineStr"/>
      <c r="N5" s="15" t="inlineStr"/>
      <c r="O5" s="16" t="inlineStr"/>
      <c r="P5" s="16" t="inlineStr"/>
      <c r="Q5" s="15" t="inlineStr"/>
      <c r="R5" s="15" t="inlineStr"/>
    </row>
    <row r="6" ht="96" customHeight="1">
      <c r="A6" s="13" t="inlineStr">
        <is>
          <t>AUT-ACL-003</t>
        </is>
      </c>
      <c r="B6" s="14" t="inlineStr">
        <is>
          <t>安全回跳</t>
        </is>
      </c>
      <c r="C6" s="14" t="inlineStr">
        <is>
          <t>回跳地址白名单及攻击参数</t>
        </is>
      </c>
      <c r="D6" s="13" t="inlineStr">
        <is>
          <t>P0</t>
        </is>
      </c>
      <c r="E6" s="13" t="inlineStr">
        <is>
          <t>混合</t>
        </is>
      </c>
      <c r="F6" s="14" t="inlineStr">
        <is>
          <t>准备可登录账号</t>
        </is>
      </c>
      <c r="G6" s="14" t="inlineStr">
        <is>
          <t>/profile?tab=security；http外链；//外链；反斜杠；相对路径；编码变体；空值</t>
        </is>
      </c>
      <c r="H6" s="14" t="inlineStr">
        <is>
          <t>携带目标完成认证</t>
        </is>
      </c>
      <c r="I6" s="14" t="inlineStr">
        <is>
          <t>仅合法单斜杠站内地址恢复；其余全部首页；响应无开放重定向</t>
        </is>
      </c>
      <c r="J6" s="13" t="inlineStr">
        <is>
          <t>quiz-web/e2e/auth/safe-redirect.spec.ts</t>
        </is>
      </c>
      <c r="K6" s="15" t="inlineStr">
        <is>
          <t>待实现</t>
        </is>
      </c>
      <c r="L6" s="15" t="inlineStr">
        <is>
          <t>未执行</t>
        </is>
      </c>
      <c r="M6" s="15" t="inlineStr"/>
      <c r="N6" s="15" t="inlineStr"/>
      <c r="O6" s="16" t="inlineStr"/>
      <c r="P6" s="16" t="inlineStr"/>
      <c r="Q6" s="15" t="inlineStr"/>
      <c r="R6" s="15" t="inlineStr"/>
    </row>
    <row r="7" ht="96" customHeight="1">
      <c r="A7" s="13" t="inlineStr">
        <is>
          <t>AUT-ACL-004</t>
        </is>
      </c>
      <c r="B7" s="14" t="inlineStr">
        <is>
          <t>角色权限</t>
        </is>
      </c>
      <c r="C7" s="14" t="inlineStr">
        <is>
          <t>学生与管理员后台权限接口和路由一致</t>
        </is>
      </c>
      <c r="D7" s="13" t="inlineStr">
        <is>
          <t>P0</t>
        </is>
      </c>
      <c r="E7" s="13" t="inlineStr">
        <is>
          <t>混合</t>
        </is>
      </c>
      <c r="F7" s="14" t="inlineStr">
        <is>
          <t>准备学生、管理员会话</t>
        </is>
      </c>
      <c r="G7" s="14" t="inlineStr">
        <is>
          <t>后台列表/详情/写入接口及页面</t>
        </is>
      </c>
      <c r="H7" s="14" t="inlineStr">
        <is>
          <t>用两种角色参数化访问</t>
        </is>
      </c>
      <c r="I7" s="14" t="inlineStr">
        <is>
          <t>学生页面回首页且接口拒绝；管理员页面和接口允许；修改前端状态不能提权</t>
        </is>
      </c>
      <c r="J7" s="13" t="inlineStr">
        <is>
          <t>api/tests/auth/role-access.spec.ts</t>
        </is>
      </c>
      <c r="K7" s="15" t="inlineStr">
        <is>
          <t>待实现</t>
        </is>
      </c>
      <c r="L7" s="15" t="inlineStr">
        <is>
          <t>未执行</t>
        </is>
      </c>
      <c r="M7" s="15" t="inlineStr"/>
      <c r="N7" s="15" t="inlineStr"/>
      <c r="O7" s="16" t="inlineStr"/>
      <c r="P7" s="16" t="inlineStr"/>
      <c r="Q7" s="15" t="inlineStr"/>
      <c r="R7" s="15" t="inlineStr"/>
    </row>
    <row r="8" ht="96" customHeight="1">
      <c r="A8" s="13" t="inlineStr">
        <is>
          <t>AUT-ACL-005</t>
        </is>
      </c>
      <c r="B8" s="14" t="inlineStr">
        <is>
          <t>认证边界</t>
        </is>
      </c>
      <c r="C8" s="14" t="inlineStr">
        <is>
          <t>已登录访问认证页及会员权限隔离</t>
        </is>
      </c>
      <c r="D8" s="13" t="inlineStr">
        <is>
          <t>P0</t>
        </is>
      </c>
      <c r="E8" s="13" t="inlineStr">
        <is>
          <t>UI</t>
        </is>
      </c>
      <c r="F8" s="14" t="inlineStr">
        <is>
          <t>普通学生已登录且无会员</t>
        </is>
      </c>
      <c r="G8" s="14" t="inlineStr">
        <is>
          <t>登录页/注册页/会员受限入口</t>
        </is>
      </c>
      <c r="H8" s="14" t="inlineStr">
        <is>
          <t>逐路由访问</t>
        </is>
      </c>
      <c r="I8" s="14" t="inlineStr">
        <is>
          <t>认证页回首页且不建第二会话；会员入口仍受权益限制；考试偏好不改变会员状态</t>
        </is>
      </c>
      <c r="J8" s="13" t="inlineStr">
        <is>
          <t>quiz-web/e2e/auth/auth-boundary.spec.ts</t>
        </is>
      </c>
      <c r="K8" s="15" t="inlineStr">
        <is>
          <t>待实现</t>
        </is>
      </c>
      <c r="L8" s="15" t="inlineStr">
        <is>
          <t>未执行</t>
        </is>
      </c>
      <c r="M8" s="15" t="inlineStr"/>
      <c r="N8" s="15" t="inlineStr"/>
      <c r="O8" s="16" t="inlineStr"/>
      <c r="P8" s="16" t="inlineStr"/>
      <c r="Q8" s="15" t="inlineStr"/>
      <c r="R8" s="15" t="inlineStr"/>
    </row>
  </sheetData>
  <autoFilter ref="A3:R8"/>
  <mergeCells count="2">
    <mergeCell ref="A2:R2"/>
    <mergeCell ref="A1:R1"/>
  </mergeCells>
  <conditionalFormatting sqref="D4:D8">
    <cfRule type="expression" priority="1" dxfId="0">
      <formula>$D4="P0"</formula>
    </cfRule>
    <cfRule type="expression" priority="2" dxfId="1">
      <formula>$D4="P1"</formula>
    </cfRule>
  </conditionalFormatting>
  <conditionalFormatting sqref="K4:K8">
    <cfRule type="expression" priority="3" dxfId="2">
      <formula>$K4="已实现"</formula>
    </cfRule>
    <cfRule type="expression" priority="4" dxfId="3">
      <formula>$K4="开发中"</formula>
    </cfRule>
    <cfRule type="expression" priority="5" dxfId="4">
      <formula>$K4="暂缓"</formula>
    </cfRule>
  </conditionalFormatting>
  <conditionalFormatting sqref="L4:L8">
    <cfRule type="expression" priority="6" dxfId="5">
      <formula>$L4="未执行"</formula>
    </cfRule>
    <cfRule type="expression" priority="7" dxfId="2">
      <formula>$L4="通过"</formula>
    </cfRule>
    <cfRule type="expression" priority="8" dxfId="6">
      <formula>$L4="失败"</formula>
    </cfRule>
    <cfRule type="expression" priority="9" dxfId="6">
      <formula>$L4="阻塞"</formula>
    </cfRule>
    <cfRule type="expression" priority="10" dxfId="4">
      <formula>$L4="不适用"</formula>
    </cfRule>
  </conditionalFormatting>
  <conditionalFormatting sqref="M4:M8">
    <cfRule type="expression" priority="11" dxfId="2">
      <formula>$M4="是"</formula>
    </cfRule>
    <cfRule type="expression" priority="12" dxfId="6">
      <formula>$M4="否"</formula>
    </cfRule>
  </conditionalFormatting>
  <conditionalFormatting sqref="N4:N8">
    <cfRule type="expression" priority="13" dxfId="6">
      <formula>$N4="阻塞"</formula>
    </cfRule>
    <cfRule type="expression" priority="14" dxfId="6">
      <formula>$N4="高"</formula>
    </cfRule>
    <cfRule type="expression" priority="15" dxfId="7">
      <formula>$N4="中"</formula>
    </cfRule>
    <cfRule type="expression" priority="16" dxfId="5">
      <formula>$N4="低"</formula>
    </cfRule>
    <cfRule type="expression" priority="17" dxfId="4">
      <formula>$N4="轻微"</formula>
    </cfRule>
  </conditionalFormatting>
  <conditionalFormatting sqref="Q4:Q8">
    <cfRule type="expression" priority="18" dxfId="2">
      <formula>$Q4="已完成"</formula>
    </cfRule>
    <cfRule type="expression" priority="19" dxfId="8">
      <formula>$Q4="待讨论"</formula>
    </cfRule>
    <cfRule type="expression" priority="20" dxfId="4">
      <formula>$Q4="暂不修复"</formula>
    </cfRule>
  </conditionalFormatting>
  <conditionalFormatting sqref="R4:R8">
    <cfRule type="expression" priority="21" dxfId="2">
      <formula>$R4="通过"</formula>
    </cfRule>
    <cfRule type="expression" priority="22" dxfId="6">
      <formula>$R4="不通过"</formula>
    </cfRule>
  </conditionalFormatting>
  <dataValidations count="8">
    <dataValidation sqref="D4:D8" showDropDown="0" showInputMessage="1" showErrorMessage="1" allowBlank="1" errorTitle="选项无效" error="请从下拉列表中选择。" promptTitle="请选择" prompt="选择优先级" type="list" errorStyle="stop">
      <formula1>"P0,P1,P2,P3"</formula1>
    </dataValidation>
    <dataValidation sqref="E4:E8" showDropDown="0" showInputMessage="1" showErrorMessage="1" allowBlank="1" errorTitle="选项无效" error="请从下拉列表中选择。" promptTitle="请选择" prompt="选择自动化层级" type="list" errorStyle="stop">
      <formula1>"API,UI,混合"</formula1>
    </dataValidation>
    <dataValidation sqref="K4:K8" showDropDown="0" showInputMessage="1" showErrorMessage="1" allowBlank="1" errorTitle="选项无效" error="请从下拉列表中选择。" promptTitle="请选择" prompt="选择脚本状态" type="list" errorStyle="stop">
      <formula1>"待实现,开发中,已实现,暂缓"</formula1>
    </dataValidation>
    <dataValidation sqref="L4:L8" showDropDown="0" showInputMessage="1" showErrorMessage="1" allowBlank="1" errorTitle="选项无效" error="请从下拉列表中选择。" promptTitle="请选择" prompt="选择执行状态" type="list" errorStyle="stop">
      <formula1>"未执行,通过,失败,阻塞,不适用"</formula1>
    </dataValidation>
    <dataValidation sqref="M4:M8" showDropDown="0" showInputMessage="1" showErrorMessage="1" allowBlank="1" errorTitle="选项无效" error="请从下拉列表中选择。" promptTitle="请选择" prompt="选择是否通过" type="list" errorStyle="stop">
      <formula1>"是,否"</formula1>
    </dataValidation>
    <dataValidation sqref="N4:N8" showDropDown="0" showInputMessage="1" showErrorMessage="1" allowBlank="1" errorTitle="选项无效" error="请从下拉列表中选择。" promptTitle="请选择" prompt="选择缺陷等级" type="list" errorStyle="stop">
      <formula1>"阻塞,高,中,低,轻微"</formula1>
    </dataValidation>
    <dataValidation sqref="Q4:Q8" showDropDown="0" showInputMessage="1" showErrorMessage="1" allowBlank="1" errorTitle="选项无效" error="请从下拉列表中选择。" promptTitle="请选择" prompt="选择修复情况" type="list" errorStyle="stop">
      <formula1>"已完成,待讨论,暂不修复"</formula1>
    </dataValidation>
    <dataValidation sqref="R4:R8" showDropDown="0" showInputMessage="1" showErrorMessage="1" allowBlank="1" errorTitle="选项无效" error="请从下拉列表中选择。" promptTitle="请选择" prompt="选择回归情况" type="list" errorStyle="stop">
      <formula1>"通过,不通过"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2026-08-09T07:05:09Z</dcterms:created>
  <dcterms:modified xmlns:dcterms="http://purl.org/dc/terms/" xmlns:xsi="http://www.w3.org/2001/XMLSchema-instance" xsi:type="dcterms:W3CDTF">2026-08-09T07:05:09Z</dcterms:modified>
</cp:coreProperties>
</file>