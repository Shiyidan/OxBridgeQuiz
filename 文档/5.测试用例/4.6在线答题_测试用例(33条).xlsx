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e0522fde3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说明" sheetId="1" r:id="R8bd96581759243bf"/>
    <x:sheet xmlns:r="http://schemas.openxmlformats.org/officeDocument/2006/relationships" name="进入与恢复" sheetId="2" r:id="Rdcc959e175ba4ff8"/>
    <x:sheet xmlns:r="http://schemas.openxmlformats.org/officeDocument/2006/relationships" name="页面与渲染" sheetId="3" r:id="Rb265a1b79adf4145"/>
    <x:sheet xmlns:r="http://schemas.openxmlformats.org/officeDocument/2006/relationships" name="作答与导航" sheetId="4" r:id="R537f0aad8d2c4ab0"/>
    <x:sheet xmlns:r="http://schemas.openxmlformats.org/officeDocument/2006/relationships" name="保存与返回" sheetId="5" r:id="Rf6ee3e28fc15414f"/>
    <x:sheet xmlns:r="http://schemas.openxmlformats.org/officeDocument/2006/relationships" name="计时与切屏" sheetId="6" r:id="Rf75105b7c57b4fb6"/>
    <x:sheet xmlns:r="http://schemas.openxmlformats.org/officeDocument/2006/relationships" name="交卷与结果" sheetId="7" r:id="R5749fe0128ca4cac"/>
    <x:sheet xmlns:r="http://schemas.openxmlformats.org/officeDocument/2006/relationships" name="诊断衔接" sheetId="8" r:id="R8b1ac011be7c4b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4">
    <x:font>
      <x:sz val="11"/>
      <x:name val="Carlito"/>
    </x:font>
    <x:font>
      <x:b/>
      <x:sz val="18"/>
      <x:color rgb="FFFFFFFF"/>
      <x:name val="Carlito"/>
    </x:font>
    <x:font>
      <x:sz val="10"/>
      <x:color rgb="FF1F4E78"/>
      <x:name val="Carlito"/>
    </x:font>
    <x:font>
      <x:sz val="10"/>
      <x:color rgb="FF203040"/>
      <x:name val="Carlito"/>
    </x:font>
    <x:font>
      <x:b/>
      <x:sz val="10"/>
      <x:color rgb="FFFFFFFF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b/>
      <x:sz val="11"/>
      <x:color rgb="FF17365D"/>
      <x:name val="Carlito"/>
    </x:font>
    <x:font>
      <x:sz val="11"/>
      <x:color rgb="FF203040"/>
      <x:name val="Carlito"/>
    </x:font>
    <x:font>
      <x:b/>
      <x:sz val="16"/>
      <x:color rgb="FFFFFFFF"/>
      <x:name val="Carlito"/>
    </x:font>
    <x:font>
      <x:sz val="9"/>
      <x:color rgb="FF1F4E78"/>
      <x:name val="Carlito"/>
    </x:font>
    <x:font>
      <x:b/>
      <x:sz val="9"/>
      <x:color rgb="FFFFFFFF"/>
      <x:name val="Carlito"/>
    </x:font>
    <x:font>
      <x:sz val="9"/>
      <x:color rgb="FF20304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2F6FA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D9E5F3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AFC6E9"/>
      </x:left>
      <x:right style="thin">
        <x:color rgb="FFAFC6E9"/>
      </x:right>
      <x:top style="thin">
        <x:color rgb="FFAFC6E9"/>
      </x:top>
      <x:bottom style="thin">
        <x:color rgb="FFAFC6E9"/>
      </x:bottom>
    </x:border>
    <x:border>
      <x:right style="thin">
        <x:color rgb="FFAFC6E9"/>
      </x:right>
      <x:bottom style="thin">
        <x:color rgb="FFAFC6E9"/>
      </x:bottom>
    </x:border>
    <x:border>
      <x:left style="thin">
        <x:color rgb="FFAFC6E9"/>
      </x:left>
      <x:right style="thin">
        <x:color rgb="FFAFC6E9"/>
      </x:right>
      <x:bottom style="thin">
        <x:color rgb="FFAFC6E9"/>
      </x:bottom>
    </x:border>
    <x:border>
      <x:left style="thin">
        <x:color rgb="FFAFC6E9"/>
      </x:left>
      <x:bottom style="thin">
        <x:color rgb="FFAFC6E9"/>
      </x:bottom>
    </x:border>
    <x:border>
      <x:right style="thin">
        <x:color rgb="FFAFC6E9"/>
      </x:right>
      <x:top style="thin">
        <x:color rgb="FFAFC6E9"/>
      </x:top>
      <x:bottom style="thin">
        <x:color rgb="FFAFC6E9"/>
      </x:bottom>
    </x:border>
    <x:border>
      <x:left style="thin">
        <x:color rgb="FFAFC6E9"/>
      </x:left>
      <x:top style="thin">
        <x:color rgb="FFAFC6E9"/>
      </x:top>
      <x:bottom style="thin">
        <x:color rgb="FFAFC6E9"/>
      </x:bottom>
    </x:border>
    <x:border>
      <x:right style="thin">
        <x:color rgb="FFAFC6E9"/>
      </x:right>
      <x:top style="thin">
        <x:color rgb="FFAFC6E9"/>
      </x:top>
    </x:border>
    <x:border>
      <x:left style="thin">
        <x:color rgb="FFAFC6E9"/>
      </x:left>
      <x:right style="thin">
        <x:color rgb="FFAFC6E9"/>
      </x:right>
      <x:top style="thin">
        <x:color rgb="FFAFC6E9"/>
      </x:top>
    </x:border>
    <x:border>
      <x:left style="thin">
        <x:color rgb="FFAFC6E9"/>
      </x:left>
      <x:top style="thin">
        <x:color rgb="FFAFC6E9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7" fillId="3" borderId="1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5" borderId="5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5" fillId="2" borderId="5" xfId="0" applyNumberFormat="1" applyFont="1" applyFill="1" applyBorder="1"/>
    <x:xf numFmtId="0" fontId="5" fillId="2" borderId="1" xfId="0" applyNumberFormat="1" applyFont="1" applyFill="1" applyBorder="1"/>
    <x:xf numFmtId="0" fontId="5" fillId="2" borderId="6" xfId="0" applyNumberFormat="1" applyFont="1" applyFill="1" applyBorder="1"/>
    <x:xf numFmtId="0" fontId="6" fillId="5" borderId="5" xfId="0" applyNumberFormat="1" applyFont="1" applyFill="1" applyBorder="1" applyAlignment="1">
      <x:alignment horizontal="center" vertical="center"/>
    </x:xf>
    <x:xf numFmtId="0" fontId="6" fillId="5" borderId="6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7" fillId="3" borderId="5" xfId="0" applyNumberFormat="1" applyFont="1" applyFill="1" applyBorder="1" applyAlignment="1">
      <x:alignment horizontal="center" vertical="center"/>
    </x:xf>
    <x:xf numFmtId="0" fontId="7" fillId="3" borderId="6" xfId="0" applyNumberFormat="1" applyFont="1" applyFill="1" applyBorder="1" applyAlignment="1">
      <x:alignment horizontal="center" vertical="center"/>
    </x:xf>
    <x:xf numFmtId="0" fontId="8" fillId="3" borderId="5" xfId="0" applyNumberFormat="1" applyFont="1" applyFill="1" applyBorder="1" applyAlignment="1">
      <x:alignment vertical="center"/>
    </x:xf>
    <x:xf numFmtId="0" fontId="9" fillId="6" borderId="1" xfId="0" applyNumberFormat="1" applyFont="1" applyFill="1" applyBorder="1" applyAlignment="1">
      <x:alignment vertical="center" wrapText="1"/>
    </x:xf>
    <x:xf numFmtId="0" fontId="9" fillId="6" borderId="6" xfId="0" applyNumberFormat="1" applyFont="1" applyFill="1" applyBorder="1" applyAlignment="1">
      <x:alignment vertical="center" wrapText="1"/>
    </x:xf>
    <x:xf numFmtId="0" fontId="8" fillId="3" borderId="7" xfId="0" applyNumberFormat="1" applyFont="1" applyFill="1" applyBorder="1" applyAlignment="1">
      <x:alignment vertical="center"/>
    </x:xf>
    <x:xf numFmtId="0" fontId="9" fillId="6" borderId="8" xfId="0" applyNumberFormat="1" applyFont="1" applyFill="1" applyBorder="1" applyAlignment="1">
      <x:alignment vertical="center" wrapText="1"/>
    </x:xf>
    <x:xf numFmtId="0" fontId="9" fillId="6" borderId="9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/>
    <x:xf numFmtId="0" fontId="12" fillId="5" borderId="1" xfId="0" applyNumberFormat="1" applyFont="1" applyFill="1" applyBorder="1"/>
    <x:xf numFmtId="0" fontId="12" fillId="5" borderId="1" xfId="0" applyNumberFormat="1" applyFont="1" applyFill="1" applyBorder="1" applyAlignment="1">
      <x:alignment wrapText="1"/>
    </x:xf>
    <x:xf numFmtId="0" fontId="12" fillId="5" borderId="1" xfId="0" applyNumberFormat="1" applyFont="1" applyFill="1" applyBorder="1" applyAlignment="1">
      <x:alignment horizontal="center" wrapText="1"/>
    </x:xf>
    <x:xf numFmtId="0" fontId="12" fillId="5" borderId="1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1" xfId="0" applyNumberFormat="1" applyFont="1" applyFill="1" applyBorder="1"/>
    <x:xf numFmtId="0" fontId="13" fillId="0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vertical="top" wrapText="1"/>
    </x:xf>
    <x:xf numFmtId="0" fontId="13" fillId="7" borderId="1" xfId="0" applyNumberFormat="1" applyFont="1" applyFill="1" applyBorder="1" applyAlignment="1">
      <x:alignment vertical="top" wrapText="1"/>
    </x:xf>
    <x:xf numFmtId="0" fontId="13" fillId="6" borderId="1" xfId="0" applyNumberFormat="1" applyFont="1" applyFill="1" applyBorder="1" applyAlignment="1">
      <x:alignment vertical="top" wrapText="1"/>
    </x:xf>
    <x:xf numFmtId="0" fontId="13" fillId="8" borderId="1" xfId="0" applyNumberFormat="1" applyFont="1" applyFill="1" applyBorder="1" applyAlignment="1">
      <x:alignment vertical="top" wrapText="1"/>
    </x:xf>
    <x:xf numFmtId="0" fontId="13" fillId="9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f559922d8e4417" /><Relationship Type="http://schemas.openxmlformats.org/officeDocument/2006/relationships/theme" Target="/xl/theme/theme1.xml" Id="R7d3f1a75a9414942" /><Relationship Type="http://schemas.openxmlformats.org/officeDocument/2006/relationships/sharedStrings" Target="/xl/sharedStrings.xml" Id="R5cf984954e8f480e" /><Relationship Type="http://schemas.openxmlformats.org/officeDocument/2006/relationships/worksheet" Target="/xl/worksheets/sheet1.xml" Id="R8bd96581759243bf" /><Relationship Type="http://schemas.openxmlformats.org/officeDocument/2006/relationships/worksheet" Target="/xl/worksheets/sheet2.xml" Id="Rdcc959e175ba4ff8" /><Relationship Type="http://schemas.openxmlformats.org/officeDocument/2006/relationships/worksheet" Target="/xl/worksheets/sheet3.xml" Id="Rb265a1b79adf4145" /><Relationship Type="http://schemas.openxmlformats.org/officeDocument/2006/relationships/worksheet" Target="/xl/worksheets/sheet4.xml" Id="R537f0aad8d2c4ab0" /><Relationship Type="http://schemas.openxmlformats.org/officeDocument/2006/relationships/worksheet" Target="/xl/worksheets/sheet5.xml" Id="Rf6ee3e28fc15414f" /><Relationship Type="http://schemas.openxmlformats.org/officeDocument/2006/relationships/worksheet" Target="/xl/worksheets/sheet6.xml" Id="Rf75105b7c57b4fb6" /><Relationship Type="http://schemas.openxmlformats.org/officeDocument/2006/relationships/worksheet" Target="/xl/worksheets/sheet7.xml" Id="R5749fe0128ca4cac" /><Relationship Type="http://schemas.openxmlformats.org/officeDocument/2006/relationships/worksheet" Target="/xl/worksheets/sheet8.xml" Id="R8b1ac011be7c4b93" /></Relationships>
</file>

<file path=xl/tables/table1.xml><?xml version="1.0" encoding="utf-8"?>
<x:table xmlns:x="http://schemas.openxmlformats.org/spreadsheetml/2006/main" id="1" name="ManualSummaryTable" displayName="ManualSummaryTable" ref="A9:I17" headerRowCount="1" totalsRowCount="0" totalsRowShown="0">
  <x:tableColumns count="9">
    <x:tableColumn id="1" name="模块"/>
    <x:tableColumn id="2" name="用例数"/>
    <x:tableColumn id="3" name="P0"/>
    <x:tableColumn id="4" name="未执行"/>
    <x:tableColumn id="5" name="是否通过-是"/>
    <x:tableColumn id="6" name="是否通过-否"/>
    <x:tableColumn id="7" name="严重缺陷"/>
    <x:tableColumn id="8" name="已完成修复"/>
    <x:tableColumn id="9" name="回归通过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ManualCaseTable36827" displayName="ManualCaseTable36827" ref="A3:P7" headerRowCount="1" totalsRowCount="0" totalsRowShown="0">
  <x:tableColumns count="16">
    <x:tableColumn id="1" name="用例编号"/>
    <x:tableColumn id="2" name="功能模块"/>
    <x:tableColumn id="3" name="用例标题"/>
    <x:tableColumn id="4" name="优先级"/>
    <x:tableColumn id="5" name="用例类型"/>
    <x:tableColumn id="6" name="前置条件"/>
    <x:tableColumn id="7" name="测试数据"/>
    <x:tableColumn id="8" name="操作步骤"/>
    <x:tableColumn id="9" name="预期结果"/>
    <x:tableColumn id="10" name="执行状态"/>
    <x:tableColumn id="11" name="是否通过"/>
    <x:tableColumn id="12" name="缺陷等级"/>
    <x:tableColumn id="13" name="实际结果"/>
    <x:tableColumn id="14" name="备注"/>
    <x:tableColumn id="15" name="修复情况"/>
    <x:tableColumn id="16" name="回归情况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ManualCaseTable39029" displayName="ManualCaseTable39029" ref="A3:P8" headerRowCount="1" totalsRowCount="0" totalsRowShown="0">
  <x:tableColumns count="16">
    <x:tableColumn id="1" name="用例编号"/>
    <x:tableColumn id="2" name="功能模块"/>
    <x:tableColumn id="3" name="用例标题"/>
    <x:tableColumn id="4" name="优先级"/>
    <x:tableColumn id="5" name="用例类型"/>
    <x:tableColumn id="6" name="前置条件"/>
    <x:tableColumn id="7" name="测试数据"/>
    <x:tableColumn id="8" name="操作步骤"/>
    <x:tableColumn id="9" name="预期结果"/>
    <x:tableColumn id="10" name="执行状态"/>
    <x:tableColumn id="11" name="是否通过"/>
    <x:tableColumn id="12" name="缺陷等级"/>
    <x:tableColumn id="13" name="实际结果"/>
    <x:tableColumn id="14" name="备注"/>
    <x:tableColumn id="15" name="修复情况"/>
    <x:tableColumn id="16" name="回归情况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ManualCaseTable20316" displayName="ManualCaseTable20316" ref="A3:P7" headerRowCount="1" totalsRowCount="0" totalsRowShown="0">
  <x:tableColumns count="16">
    <x:tableColumn id="1" name="用例编号"/>
    <x:tableColumn id="2" name="功能模块"/>
    <x:tableColumn id="3" name="用例标题"/>
    <x:tableColumn id="4" name="优先级"/>
    <x:tableColumn id="5" name="用例类型"/>
    <x:tableColumn id="6" name="前置条件"/>
    <x:tableColumn id="7" name="测试数据"/>
    <x:tableColumn id="8" name="操作步骤"/>
    <x:tableColumn id="9" name="预期结果"/>
    <x:tableColumn id="10" name="执行状态"/>
    <x:tableColumn id="11" name="是否通过"/>
    <x:tableColumn id="12" name="缺陷等级"/>
    <x:tableColumn id="13" name="实际结果"/>
    <x:tableColumn id="14" name="备注"/>
    <x:tableColumn id="15" name="修复情况"/>
    <x:tableColumn id="16" name="回归情况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ManualCaseTable20445" displayName="ManualCaseTable20445" ref="A3:P8" headerRowCount="1" totalsRowCount="0" totalsRowShown="0">
  <x:tableColumns count="16">
    <x:tableColumn id="1" name="用例编号"/>
    <x:tableColumn id="2" name="功能模块"/>
    <x:tableColumn id="3" name="用例标题"/>
    <x:tableColumn id="4" name="优先级"/>
    <x:tableColumn id="5" name="用例类型"/>
    <x:tableColumn id="6" name="前置条件"/>
    <x:tableColumn id="7" name="测试数据"/>
    <x:tableColumn id="8" name="操作步骤"/>
    <x:tableColumn id="9" name="预期结果"/>
    <x:tableColumn id="10" name="执行状态"/>
    <x:tableColumn id="11" name="是否通过"/>
    <x:tableColumn id="12" name="缺陷等级"/>
    <x:tableColumn id="13" name="实际结果"/>
    <x:tableColumn id="14" name="备注"/>
    <x:tableColumn id="15" name="修复情况"/>
    <x:tableColumn id="16" name="回归情况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ManualCaseTable35745" displayName="ManualCaseTable35745" ref="A3:P8" headerRowCount="1" totalsRowCount="0" totalsRowShown="0">
  <x:tableColumns count="16">
    <x:tableColumn id="1" name="用例编号"/>
    <x:tableColumn id="2" name="功能模块"/>
    <x:tableColumn id="3" name="用例标题"/>
    <x:tableColumn id="4" name="优先级"/>
    <x:tableColumn id="5" name="用例类型"/>
    <x:tableColumn id="6" name="前置条件"/>
    <x:tableColumn id="7" name="测试数据"/>
    <x:tableColumn id="8" name="操作步骤"/>
    <x:tableColumn id="9" name="预期结果"/>
    <x:tableColumn id="10" name="执行状态"/>
    <x:tableColumn id="11" name="是否通过"/>
    <x:tableColumn id="12" name="缺陷等级"/>
    <x:tableColumn id="13" name="实际结果"/>
    <x:tableColumn id="14" name="备注"/>
    <x:tableColumn id="15" name="修复情况"/>
    <x:tableColumn id="16" name="回归情况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7" name="ManualCaseTable20132" displayName="ManualCaseTable20132" ref="A3:P9" headerRowCount="1" totalsRowCount="0" totalsRowShown="0">
  <x:tableColumns count="16">
    <x:tableColumn id="1" name="用例编号"/>
    <x:tableColumn id="2" name="功能模块"/>
    <x:tableColumn id="3" name="用例标题"/>
    <x:tableColumn id="4" name="优先级"/>
    <x:tableColumn id="5" name="用例类型"/>
    <x:tableColumn id="6" name="前置条件"/>
    <x:tableColumn id="7" name="测试数据"/>
    <x:tableColumn id="8" name="操作步骤"/>
    <x:tableColumn id="9" name="预期结果"/>
    <x:tableColumn id="10" name="执行状态"/>
    <x:tableColumn id="11" name="是否通过"/>
    <x:tableColumn id="12" name="缺陷等级"/>
    <x:tableColumn id="13" name="实际结果"/>
    <x:tableColumn id="14" name="备注"/>
    <x:tableColumn id="15" name="修复情况"/>
    <x:tableColumn id="16" name="回归情况"/>
  </x:tableColumns>
  <x:tableStyleInfo name="TableStyleMedium2" showFirstColumn="0" showLastColumn="0" showRowStripes="0" showColumnStripes="0"/>
</x:table>
</file>

<file path=xl/tables/table8.xml><?xml version="1.0" encoding="utf-8"?>
<x:table xmlns:x="http://schemas.openxmlformats.org/spreadsheetml/2006/main" id="8" name="ManualCaseTable35786" displayName="ManualCaseTable35786" ref="A3:P7" headerRowCount="1" totalsRowCount="0" totalsRowShown="0">
  <x:tableColumns count="16">
    <x:tableColumn id="1" name="用例编号"/>
    <x:tableColumn id="2" name="功能模块"/>
    <x:tableColumn id="3" name="用例标题"/>
    <x:tableColumn id="4" name="优先级"/>
    <x:tableColumn id="5" name="用例类型"/>
    <x:tableColumn id="6" name="前置条件"/>
    <x:tableColumn id="7" name="测试数据"/>
    <x:tableColumn id="8" name="操作步骤"/>
    <x:tableColumn id="9" name="预期结果"/>
    <x:tableColumn id="10" name="执行状态"/>
    <x:tableColumn id="11" name="是否通过"/>
    <x:tableColumn id="12" name="缺陷等级"/>
    <x:tableColumn id="13" name="实际结果"/>
    <x:tableColumn id="14" name="备注"/>
    <x:tableColumn id="15" name="修复情况"/>
    <x:tableColumn id="16" name="回归情况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0088b0d66c4e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6944be54ad4a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a77d401ce244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deca33783934b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b4b79112c134e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5364b7e7fad47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b50927b2bb44d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af0ce233a6f4b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4" hidden="0" customWidth="1"/>
    <x:col min="4" max="4" width="18" hidden="0" customWidth="1"/>
    <x:col min="5" max="5" width="24" hidden="0" customWidth="1"/>
    <x:col min="6" max="6" width="20" hidden="0" customWidth="1"/>
    <x:col min="7" max="7" width="18" hidden="0" customWidth="1"/>
    <x:col min="8" max="8" width="22" hidden="0" customWidth="1"/>
    <x:col min="9" max="9" width="20" hidden="0" customWidth="1"/>
  </x:cols>
  <x:sheetData>
    <x:row r="1" ht="34" customHeight="1">
      <x:c r="A1" s="32" t="str">
        <x:v>4.6 在线答题人工测试用例</x:v>
      </x:c>
      <x:c r="B1" s="33"/>
      <x:c r="C1" s="33"/>
      <x:c r="D1" s="33"/>
      <x:c r="E1" s="33"/>
      <x:c r="F1" s="33"/>
      <x:c r="G1" s="33"/>
      <x:c r="H1" s="33"/>
      <x:c r="I1" s="34"/>
    </x:row>
    <x:row r="2" ht="25" customHeight="1">
      <x:c r="A2" s="35" t="str">
        <x:v>本轮人工P0：覆盖真实浏览器答题、保存恢复、计时切屏、交卷结果与诊断分段衔接。</x:v>
      </x:c>
      <x:c r="B2" s="36"/>
      <x:c r="C2" s="36"/>
      <x:c r="D2" s="36"/>
      <x:c r="E2" s="36"/>
      <x:c r="F2" s="36"/>
      <x:c r="G2" s="36"/>
      <x:c r="H2" s="36"/>
      <x:c r="I2" s="37"/>
    </x:row>
    <x:row r="3">
      <x:c r="A3" s="38"/>
      <x:c r="B3" s="21"/>
      <x:c r="C3" s="21"/>
      <x:c r="D3" s="21"/>
      <x:c r="E3" s="21"/>
      <x:c r="F3" s="21"/>
      <x:c r="G3" s="21"/>
      <x:c r="H3" s="21"/>
      <x:c r="I3" s="39"/>
    </x:row>
    <x:row r="4" ht="28" customHeight="1">
      <x:c r="A4" s="40" t="str">
        <x:v>文档版本</x:v>
      </x:c>
      <x:c r="B4" s="41" t="str">
        <x:v>当前版（2026-08-09）</x:v>
      </x:c>
      <x:c r="C4" s="41"/>
      <x:c r="D4" s="42" t="str">
        <x:v>生成日期</x:v>
      </x:c>
      <x:c r="E4" s="43" t="n">
        <x:v>46243</x:v>
      </x:c>
      <x:c r="F4" s="41"/>
      <x:c r="G4" s="42" t="str">
        <x:v>用例总数</x:v>
      </x:c>
      <x:c r="H4" s="41" t="n">
        <x:f>SUM(B10:B16)</x:f>
        <x:v>33</x:v>
      </x:c>
      <x:c r="I4" s="44"/>
    </x:row>
    <x:row r="5" ht="28" customHeight="1">
      <x:c r="A5" s="40" t="str">
        <x:v>需求来源</x:v>
      </x:c>
      <x:c r="B5" s="41" t="str">
        <x:v>文档/4-需求文档/4.6 在线答题.md</x:v>
      </x:c>
      <x:c r="C5" s="41"/>
      <x:c r="D5" s="41"/>
      <x:c r="E5" s="41"/>
      <x:c r="F5" s="41"/>
      <x:c r="G5" s="42" t="str">
        <x:v>默认状态</x:v>
      </x:c>
      <x:c r="H5" s="41" t="str">
        <x:v>未执行</x:v>
      </x:c>
      <x:c r="I5" s="44"/>
    </x:row>
    <x:row r="6" ht="28" customHeight="1">
      <x:c r="A6" s="40" t="str">
        <x:v>关联规则</x:v>
      </x:c>
      <x:c r="B6" s="41" t="str">
        <x:v>4.8诊断测试、4.12练习册、4.1错题本、4.3个人中心；4.6通用答题规则优先，专项状态按关联文档执行。</x:v>
      </x:c>
      <x:c r="C6" s="41"/>
      <x:c r="D6" s="41"/>
      <x:c r="E6" s="41"/>
      <x:c r="F6" s="41"/>
      <x:c r="G6" s="41"/>
      <x:c r="H6" s="41"/>
      <x:c r="I6" s="44"/>
    </x:row>
    <x:row r="7">
      <x:c r="A7" s="38"/>
      <x:c r="B7" s="21"/>
      <x:c r="C7" s="21"/>
      <x:c r="D7" s="21"/>
      <x:c r="E7" s="21"/>
      <x:c r="F7" s="21"/>
      <x:c r="G7" s="21"/>
      <x:c r="H7" s="21"/>
      <x:c r="I7" s="39"/>
    </x:row>
    <x:row r="8">
      <x:c r="A8" s="45" t="str">
        <x:v>模块覆盖统计</x:v>
      </x:c>
      <x:c r="B8" s="46"/>
      <x:c r="C8" s="46"/>
      <x:c r="D8" s="46"/>
      <x:c r="E8" s="46"/>
      <x:c r="F8" s="46"/>
      <x:c r="G8" s="46"/>
      <x:c r="H8" s="46"/>
      <x:c r="I8" s="47"/>
    </x:row>
    <x:row r="9">
      <x:c r="A9" s="48" t="str">
        <x:v>模块</x:v>
      </x:c>
      <x:c r="B9" s="20" t="str">
        <x:v>用例数</x:v>
      </x:c>
      <x:c r="C9" s="20" t="str">
        <x:v>P0</x:v>
      </x:c>
      <x:c r="D9" s="20" t="str">
        <x:v>未执行</x:v>
      </x:c>
      <x:c r="E9" s="20" t="str">
        <x:v>是否通过-是</x:v>
      </x:c>
      <x:c r="F9" s="20" t="str">
        <x:v>是否通过-否</x:v>
      </x:c>
      <x:c r="G9" s="20" t="str">
        <x:v>严重缺陷</x:v>
      </x:c>
      <x:c r="H9" s="20" t="str">
        <x:v>已完成修复</x:v>
      </x:c>
      <x:c r="I9" s="49" t="str">
        <x:v>回归通过</x:v>
      </x:c>
    </x:row>
    <x:row r="10">
      <x:c r="A10" s="50" t="str">
        <x:v>进入与恢复</x:v>
      </x:c>
      <x:c r="B10" s="23" t="n">
        <x:f>COUNTA('进入与恢复'!$A$4:$A$7)</x:f>
        <x:v>4</x:v>
      </x:c>
      <x:c r="C10" s="23" t="n">
        <x:f>COUNTIF('进入与恢复'!$D$4:$D$7,"P0")</x:f>
        <x:v>4</x:v>
      </x:c>
      <x:c r="D10" s="23" t="n">
        <x:f>COUNTIF('进入与恢复'!$J$4:$J$7,"未执行")</x:f>
        <x:v>4</x:v>
      </x:c>
      <x:c r="E10" s="23" t="n">
        <x:f>COUNTIF('进入与恢复'!$K$4:$K$7,"是")</x:f>
        <x:v>0</x:v>
      </x:c>
      <x:c r="F10" s="23" t="n">
        <x:f>COUNTIF('进入与恢复'!$K$4:$K$7,"否")</x:f>
        <x:v>0</x:v>
      </x:c>
      <x:c r="G10" s="23" t="n">
        <x:f>COUNTIF('进入与恢复'!$L$4:$L$7,"阻塞")+COUNTIF('进入与恢复'!$L$4:$L$7,"高")</x:f>
        <x:v>0</x:v>
      </x:c>
      <x:c r="H10" s="23" t="n">
        <x:f>COUNTIF('进入与恢复'!$O$4:$O$7,"已完成")</x:f>
        <x:v>0</x:v>
      </x:c>
      <x:c r="I10" s="51" t="n">
        <x:f>COUNTIF('进入与恢复'!$P$4:$P$7,"通过")</x:f>
        <x:v>0</x:v>
      </x:c>
    </x:row>
    <x:row r="11">
      <x:c r="A11" s="50" t="str">
        <x:v>页面与渲染</x:v>
      </x:c>
      <x:c r="B11" s="23" t="n">
        <x:f>COUNTA('页面与渲染'!$A$4:$A$8)</x:f>
        <x:v>5</x:v>
      </x:c>
      <x:c r="C11" s="23" t="n">
        <x:f>COUNTIF('页面与渲染'!$D$4:$D$8,"P0")</x:f>
        <x:v>5</x:v>
      </x:c>
      <x:c r="D11" s="23" t="n">
        <x:f>COUNTIF('页面与渲染'!$J$4:$J$8,"未执行")</x:f>
        <x:v>5</x:v>
      </x:c>
      <x:c r="E11" s="23" t="n">
        <x:f>COUNTIF('页面与渲染'!$K$4:$K$8,"是")</x:f>
        <x:v>0</x:v>
      </x:c>
      <x:c r="F11" s="23" t="n">
        <x:f>COUNTIF('页面与渲染'!$K$4:$K$8,"否")</x:f>
        <x:v>0</x:v>
      </x:c>
      <x:c r="G11" s="23" t="n">
        <x:f>COUNTIF('页面与渲染'!$L$4:$L$8,"阻塞")+COUNTIF('页面与渲染'!$L$4:$L$8,"高")</x:f>
        <x:v>0</x:v>
      </x:c>
      <x:c r="H11" s="23" t="n">
        <x:f>COUNTIF('页面与渲染'!$O$4:$O$8,"已完成")</x:f>
        <x:v>0</x:v>
      </x:c>
      <x:c r="I11" s="51" t="n">
        <x:f>COUNTIF('页面与渲染'!$P$4:$P$8,"通过")</x:f>
        <x:v>0</x:v>
      </x:c>
    </x:row>
    <x:row r="12">
      <x:c r="A12" s="50" t="str">
        <x:v>作答与导航</x:v>
      </x:c>
      <x:c r="B12" s="23" t="n">
        <x:f>COUNTA('作答与导航'!$A$4:$A$7)</x:f>
        <x:v>4</x:v>
      </x:c>
      <x:c r="C12" s="23" t="n">
        <x:f>COUNTIF('作答与导航'!$D$4:$D$7,"P0")</x:f>
        <x:v>4</x:v>
      </x:c>
      <x:c r="D12" s="23" t="n">
        <x:f>COUNTIF('作答与导航'!$J$4:$J$7,"未执行")</x:f>
        <x:v>4</x:v>
      </x:c>
      <x:c r="E12" s="23" t="n">
        <x:f>COUNTIF('作答与导航'!$K$4:$K$7,"是")</x:f>
        <x:v>0</x:v>
      </x:c>
      <x:c r="F12" s="23" t="n">
        <x:f>COUNTIF('作答与导航'!$K$4:$K$7,"否")</x:f>
        <x:v>0</x:v>
      </x:c>
      <x:c r="G12" s="23" t="n">
        <x:f>COUNTIF('作答与导航'!$L$4:$L$7,"阻塞")+COUNTIF('作答与导航'!$L$4:$L$7,"高")</x:f>
        <x:v>0</x:v>
      </x:c>
      <x:c r="H12" s="23" t="n">
        <x:f>COUNTIF('作答与导航'!$O$4:$O$7,"已完成")</x:f>
        <x:v>0</x:v>
      </x:c>
      <x:c r="I12" s="51" t="n">
        <x:f>COUNTIF('作答与导航'!$P$4:$P$7,"通过")</x:f>
        <x:v>0</x:v>
      </x:c>
    </x:row>
    <x:row r="13">
      <x:c r="A13" s="50" t="str">
        <x:v>保存与返回</x:v>
      </x:c>
      <x:c r="B13" s="23" t="n">
        <x:f>COUNTA('保存与返回'!$A$4:$A$8)</x:f>
        <x:v>5</x:v>
      </x:c>
      <x:c r="C13" s="23" t="n">
        <x:f>COUNTIF('保存与返回'!$D$4:$D$8,"P0")</x:f>
        <x:v>5</x:v>
      </x:c>
      <x:c r="D13" s="23" t="n">
        <x:f>COUNTIF('保存与返回'!$J$4:$J$8,"未执行")</x:f>
        <x:v>5</x:v>
      </x:c>
      <x:c r="E13" s="23" t="n">
        <x:f>COUNTIF('保存与返回'!$K$4:$K$8,"是")</x:f>
        <x:v>0</x:v>
      </x:c>
      <x:c r="F13" s="23" t="n">
        <x:f>COUNTIF('保存与返回'!$K$4:$K$8,"否")</x:f>
        <x:v>0</x:v>
      </x:c>
      <x:c r="G13" s="23" t="n">
        <x:f>COUNTIF('保存与返回'!$L$4:$L$8,"阻塞")+COUNTIF('保存与返回'!$L$4:$L$8,"高")</x:f>
        <x:v>0</x:v>
      </x:c>
      <x:c r="H13" s="23" t="n">
        <x:f>COUNTIF('保存与返回'!$O$4:$O$8,"已完成")</x:f>
        <x:v>0</x:v>
      </x:c>
      <x:c r="I13" s="51" t="n">
        <x:f>COUNTIF('保存与返回'!$P$4:$P$8,"通过")</x:f>
        <x:v>0</x:v>
      </x:c>
    </x:row>
    <x:row r="14">
      <x:c r="A14" s="50" t="str">
        <x:v>计时与切屏</x:v>
      </x:c>
      <x:c r="B14" s="23" t="n">
        <x:f>COUNTA('计时与切屏'!$A$4:$A$8)</x:f>
        <x:v>5</x:v>
      </x:c>
      <x:c r="C14" s="23" t="n">
        <x:f>COUNTIF('计时与切屏'!$D$4:$D$8,"P0")</x:f>
        <x:v>5</x:v>
      </x:c>
      <x:c r="D14" s="23" t="n">
        <x:f>COUNTIF('计时与切屏'!$J$4:$J$8,"未执行")</x:f>
        <x:v>5</x:v>
      </x:c>
      <x:c r="E14" s="23" t="n">
        <x:f>COUNTIF('计时与切屏'!$K$4:$K$8,"是")</x:f>
        <x:v>0</x:v>
      </x:c>
      <x:c r="F14" s="23" t="n">
        <x:f>COUNTIF('计时与切屏'!$K$4:$K$8,"否")</x:f>
        <x:v>0</x:v>
      </x:c>
      <x:c r="G14" s="23" t="n">
        <x:f>COUNTIF('计时与切屏'!$L$4:$L$8,"阻塞")+COUNTIF('计时与切屏'!$L$4:$L$8,"高")</x:f>
        <x:v>0</x:v>
      </x:c>
      <x:c r="H14" s="23" t="n">
        <x:f>COUNTIF('计时与切屏'!$O$4:$O$8,"已完成")</x:f>
        <x:v>0</x:v>
      </x:c>
      <x:c r="I14" s="51" t="n">
        <x:f>COUNTIF('计时与切屏'!$P$4:$P$8,"通过")</x:f>
        <x:v>0</x:v>
      </x:c>
    </x:row>
    <x:row r="15">
      <x:c r="A15" s="50" t="str">
        <x:v>交卷与结果</x:v>
      </x:c>
      <x:c r="B15" s="23" t="n">
        <x:f>COUNTA('交卷与结果'!$A$4:$A$9)</x:f>
        <x:v>6</x:v>
      </x:c>
      <x:c r="C15" s="23" t="n">
        <x:f>COUNTIF('交卷与结果'!$D$4:$D$9,"P0")</x:f>
        <x:v>6</x:v>
      </x:c>
      <x:c r="D15" s="23" t="n">
        <x:f>COUNTIF('交卷与结果'!$J$4:$J$9,"未执行")</x:f>
        <x:v>6</x:v>
      </x:c>
      <x:c r="E15" s="23" t="n">
        <x:f>COUNTIF('交卷与结果'!$K$4:$K$9,"是")</x:f>
        <x:v>0</x:v>
      </x:c>
      <x:c r="F15" s="23" t="n">
        <x:f>COUNTIF('交卷与结果'!$K$4:$K$9,"否")</x:f>
        <x:v>0</x:v>
      </x:c>
      <x:c r="G15" s="23" t="n">
        <x:f>COUNTIF('交卷与结果'!$L$4:$L$9,"阻塞")+COUNTIF('交卷与结果'!$L$4:$L$9,"高")</x:f>
        <x:v>0</x:v>
      </x:c>
      <x:c r="H15" s="23" t="n">
        <x:f>COUNTIF('交卷与结果'!$O$4:$O$9,"已完成")</x:f>
        <x:v>0</x:v>
      </x:c>
      <x:c r="I15" s="51" t="n">
        <x:f>COUNTIF('交卷与结果'!$P$4:$P$9,"通过")</x:f>
        <x:v>0</x:v>
      </x:c>
    </x:row>
    <x:row r="16">
      <x:c r="A16" s="50" t="str">
        <x:v>诊断衔接</x:v>
      </x:c>
      <x:c r="B16" s="23" t="n">
        <x:f>COUNTA('诊断衔接'!$A$4:$A$7)</x:f>
        <x:v>4</x:v>
      </x:c>
      <x:c r="C16" s="23" t="n">
        <x:f>COUNTIF('诊断衔接'!$D$4:$D$7,"P0")</x:f>
        <x:v>4</x:v>
      </x:c>
      <x:c r="D16" s="23" t="n">
        <x:f>COUNTIF('诊断衔接'!$J$4:$J$7,"未执行")</x:f>
        <x:v>4</x:v>
      </x:c>
      <x:c r="E16" s="23" t="n">
        <x:f>COUNTIF('诊断衔接'!$K$4:$K$7,"是")</x:f>
        <x:v>0</x:v>
      </x:c>
      <x:c r="F16" s="23" t="n">
        <x:f>COUNTIF('诊断衔接'!$K$4:$K$7,"否")</x:f>
        <x:v>0</x:v>
      </x:c>
      <x:c r="G16" s="23" t="n">
        <x:f>COUNTIF('诊断衔接'!$L$4:$L$7,"阻塞")+COUNTIF('诊断衔接'!$L$4:$L$7,"高")</x:f>
        <x:v>0</x:v>
      </x:c>
      <x:c r="H16" s="23" t="n">
        <x:f>COUNTIF('诊断衔接'!$O$4:$O$7,"已完成")</x:f>
        <x:v>0</x:v>
      </x:c>
      <x:c r="I16" s="51" t="n">
        <x:f>COUNTIF('诊断衔接'!$P$4:$P$7,"通过")</x:f>
        <x:v>0</x:v>
      </x:c>
    </x:row>
    <x:row r="17">
      <x:c r="A17" s="52" t="str">
        <x:v>合计</x:v>
      </x:c>
      <x:c r="B17" s="25" t="n">
        <x:f>SUM(B10:B16)</x:f>
        <x:v>33</x:v>
      </x:c>
      <x:c r="C17" s="25" t="n">
        <x:f>SUM(C10:C16)</x:f>
        <x:v>33</x:v>
      </x:c>
      <x:c r="D17" s="25" t="n">
        <x:f>SUM(D10:D16)</x:f>
        <x:v>33</x:v>
      </x:c>
      <x:c r="E17" s="25" t="n">
        <x:f>SUM(E10:E16)</x:f>
        <x:v>0</x:v>
      </x:c>
      <x:c r="F17" s="25" t="n">
        <x:f>SUM(F10:F16)</x:f>
        <x:v>0</x:v>
      </x:c>
      <x:c r="G17" s="25" t="n">
        <x:f>SUM(G10:G16)</x:f>
        <x:v>0</x:v>
      </x:c>
      <x:c r="H17" s="25" t="n">
        <x:f>SUM(H10:H16)</x:f>
        <x:v>0</x:v>
      </x:c>
      <x:c r="I17" s="53" t="n">
        <x:f>SUM(I10:I16)</x:f>
        <x:v>0</x:v>
      </x:c>
    </x:row>
    <x:row r="18">
      <x:c r="A18" s="38"/>
      <x:c r="B18" s="21"/>
      <x:c r="C18" s="21"/>
      <x:c r="D18" s="21"/>
      <x:c r="E18" s="21"/>
      <x:c r="F18" s="21"/>
      <x:c r="G18" s="21"/>
      <x:c r="H18" s="21"/>
      <x:c r="I18" s="39"/>
    </x:row>
    <x:row r="19">
      <x:c r="A19" s="38"/>
      <x:c r="B19" s="21"/>
      <x:c r="C19" s="21"/>
      <x:c r="D19" s="21"/>
      <x:c r="E19" s="21"/>
      <x:c r="F19" s="21"/>
      <x:c r="G19" s="21"/>
      <x:c r="H19" s="21"/>
      <x:c r="I19" s="39"/>
    </x:row>
    <x:row r="20">
      <x:c r="A20" s="45" t="str">
        <x:v>使用说明</x:v>
      </x:c>
      <x:c r="B20" s="46"/>
      <x:c r="C20" s="46"/>
      <x:c r="D20" s="46"/>
      <x:c r="E20" s="46"/>
      <x:c r="F20" s="46"/>
      <x:c r="G20" s="46"/>
      <x:c r="H20" s="46"/>
      <x:c r="I20" s="47"/>
    </x:row>
    <x:row r="21" ht="28" customHeight="1">
      <x:c r="A21" s="54" t="str">
        <x:v>执行方式</x:v>
      </x:c>
      <x:c r="B21" s="55" t="str">
        <x:v>使用真实浏览器按编号步骤执行；跨页面统计先记录基线，验证未完成不变化，再正式交卷并返回来源页面复核。</x:v>
      </x:c>
      <x:c r="C21" s="55"/>
      <x:c r="D21" s="55"/>
      <x:c r="E21" s="55"/>
      <x:c r="F21" s="55"/>
      <x:c r="G21" s="55"/>
      <x:c r="H21" s="55"/>
      <x:c r="I21" s="56"/>
    </x:row>
    <x:row r="22" ht="28" customHeight="1">
      <x:c r="A22" s="54" t="str">
        <x:v>数据准备</x:v>
      </x:c>
      <x:c r="B22" s="55" t="str">
        <x:v>准备普通学生、ESAT/TMUA场景、试题库与练习本、可控网络、限时会话、诊断分段及故障注入数据。</x:v>
      </x:c>
      <x:c r="C22" s="55"/>
      <x:c r="D22" s="55"/>
      <x:c r="E22" s="55"/>
      <x:c r="F22" s="55"/>
      <x:c r="G22" s="55"/>
      <x:c r="H22" s="55"/>
      <x:c r="I22" s="56"/>
    </x:row>
    <x:row r="23" ht="28" customHeight="1">
      <x:c r="A23" s="54" t="str">
        <x:v>判定原则</x:v>
      </x:c>
      <x:c r="B23" s="55" t="str">
        <x:v>关键步骤全部符合预期才填写是否通过=是；当前实现待对齐项按需求结果判定并登记缺陷。</x:v>
      </x:c>
      <x:c r="C23" s="55"/>
      <x:c r="D23" s="55"/>
      <x:c r="E23" s="55"/>
      <x:c r="F23" s="55"/>
      <x:c r="G23" s="55"/>
      <x:c r="H23" s="55"/>
      <x:c r="I23" s="56"/>
    </x:row>
    <x:row r="24" ht="28" customHeight="1">
      <x:c r="A24" s="54" t="str">
        <x:v>缺陷记录</x:v>
      </x:c>
      <x:c r="B24" s="55" t="str">
        <x:v>失败时填写缺陷等级和实际结果；修复后补充修复情况与回归情况。</x:v>
      </x:c>
      <x:c r="C24" s="55"/>
      <x:c r="D24" s="55"/>
      <x:c r="E24" s="55"/>
      <x:c r="F24" s="55"/>
      <x:c r="G24" s="55"/>
      <x:c r="H24" s="55"/>
      <x:c r="I24" s="56"/>
    </x:row>
    <x:row r="25" ht="28" customHeight="1">
      <x:c r="A25" s="57" t="str">
        <x:v>自动化分工</x:v>
      </x:c>
      <x:c r="B25" s="58" t="str">
        <x:v>参数矩阵、假时钟、乱序、并发、幂等、原子性和越权由自动化工作簿覆盖，不在人工表重复展开。</x:v>
      </x:c>
      <x:c r="C25" s="58"/>
      <x:c r="D25" s="58"/>
      <x:c r="E25" s="58"/>
      <x:c r="F25" s="58"/>
      <x:c r="G25" s="58"/>
      <x:c r="H25" s="58"/>
      <x:c r="I25" s="59"/>
    </x:row>
  </x:sheetData>
  <x:mergeCells>
    <x:mergeCell ref="A1:I1"/>
    <x:mergeCell ref="A2:I2"/>
    <x:mergeCell ref="B4:C4"/>
    <x:mergeCell ref="E4:F4"/>
    <x:mergeCell ref="H4:I4"/>
    <x:mergeCell ref="B5:F5"/>
    <x:mergeCell ref="H5:I5"/>
    <x:mergeCell ref="B6:I6"/>
    <x:mergeCell ref="A8:I8"/>
    <x:mergeCell ref="A20:I20"/>
    <x:mergeCell ref="B21:I21"/>
    <x:mergeCell ref="B22:I22"/>
    <x:mergeCell ref="B23:I23"/>
    <x:mergeCell ref="B24:I24"/>
    <x:mergeCell ref="B25:I25"/>
  </x:mergeCells>
  <x:pageMargins left="0.7" right="0.7" top="0.75" bottom="0.75" header="0.3" footer="0.3"/>
  <x:tableParts count="1">
    <x:tablePart xmlns:r="http://schemas.openxmlformats.org/officeDocument/2006/relationships" r:id="R000088b0d66c4e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9" hidden="0" customWidth="1"/>
    <x:col min="5" max="5" width="11" hidden="0" customWidth="1"/>
    <x:col min="6" max="6" width="28" hidden="0" customWidth="1"/>
    <x:col min="7" max="7" width="28" hidden="0" customWidth="1"/>
    <x:col min="8" max="8" width="40" hidden="0" customWidth="1"/>
    <x:col min="9" max="9" width="44" hidden="0" customWidth="1"/>
    <x:col min="10" max="10" width="12" hidden="0" customWidth="1"/>
    <x:col min="11" max="11" width="11" hidden="0" customWidth="1"/>
    <x:col min="12" max="12" width="11" hidden="0" customWidth="1"/>
    <x:col min="13" max="13" width="28" hidden="0" customWidth="1"/>
    <x:col min="14" max="14" width="23" hidden="0" customWidth="1"/>
    <x:col min="15" max="15" width="12" hidden="0" customWidth="1"/>
    <x:col min="16" max="16" width="12" hidden="0" customWidth="1"/>
  </x:cols>
  <x:sheetData>
    <x:row r="1" ht="27" customHeight="1">
      <x:c r="A1" s="61" t="str">
        <x:v>4.6 在线答题人工测试用例｜进入与恢复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</x:row>
    <x:row r="2" ht="20" customHeight="1">
      <x:c r="A2" s="63" t="str">
        <x:v>来源：文档/4-需求文档/4.6 在线答题.md　｜　范围：P0页面操作、状态旅程与可见结果　｜　进入与恢复：4 条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</x:row>
    <x:row r="3" ht="28" customHeight="1">
      <x:c r="A3" s="68" t="str">
        <x:v>用例编号</x:v>
      </x:c>
      <x:c r="B3" s="68" t="str">
        <x:v>功能模块</x:v>
      </x:c>
      <x:c r="C3" s="68" t="str">
        <x:v>用例标题</x:v>
      </x:c>
      <x:c r="D3" s="68" t="str">
        <x:v>优先级</x:v>
      </x:c>
      <x:c r="E3" s="68" t="str">
        <x:v>用例类型</x:v>
      </x:c>
      <x:c r="F3" s="68" t="str">
        <x:v>前置条件</x:v>
      </x:c>
      <x:c r="G3" s="68" t="str">
        <x:v>测试数据</x:v>
      </x:c>
      <x:c r="H3" s="68" t="str">
        <x:v>操作步骤</x:v>
      </x:c>
      <x:c r="I3" s="68" t="str">
        <x:v>预期结果</x:v>
      </x:c>
      <x:c r="J3" s="68" t="str">
        <x:v>执行状态</x:v>
      </x:c>
      <x:c r="K3" s="68" t="str">
        <x:v>是否通过</x:v>
      </x:c>
      <x:c r="L3" s="68" t="str">
        <x:v>缺陷等级</x:v>
      </x:c>
      <x:c r="M3" s="68" t="str">
        <x:v>实际结果</x:v>
      </x:c>
      <x:c r="N3" s="68" t="str">
        <x:v>备注</x:v>
      </x:c>
      <x:c r="O3" s="68" t="str">
        <x:v>修复情况</x:v>
      </x:c>
      <x:c r="P3" s="68" t="str">
        <x:v>回归情况</x:v>
      </x:c>
    </x:row>
    <x:row r="4" ht="78" customHeight="1">
      <x:c r="A4" s="73" t="str">
        <x:v>ANS-ENTRY-001</x:v>
      </x:c>
      <x:c r="B4" s="73" t="str">
        <x:v>进入与恢复</x:v>
      </x:c>
      <x:c r="C4" s="73" t="str">
        <x:v>从试题库开始普通练习并冻结本场题目</x:v>
      </x:c>
      <x:c r="D4" s="73" t="str">
        <x:v>P0</x:v>
      </x:c>
      <x:c r="E4" s="73" t="str">
        <x:v>流程</x:v>
      </x:c>
      <x:c r="F4" s="73" t="str">
        <x:v>学生已登录；当前考试试题库有可用题目；没有未交卷的题库练习</x:v>
      </x:c>
      <x:c r="G4" s="73" t="str">
        <x:v>ESAT；不限时；8题；记录开始时题号与顺序S</x:v>
      </x:c>
      <x:c r="H4" s="73" t="str">
        <x:v>1. 从顶部导航进入当前考试的试题库
2. 选择可用范围并点击开始练习
3. 等待答题页加载完成，记录题量、题号顺序S和首题内容
4. 刷新答题页并再次核对题量、顺序和首题
5. 返回试题库后点击继续练习并第三次核对S</x:v>
      </x:c>
      <x:c r="I4" s="73" t="str">
        <x:v>只建立一场进行中练习；首次进入显示第1题；刷新和继续均恢复同一场记录，题量与顺序始终等于S，不重新抽题。</x:v>
      </x:c>
      <x:c r="J4" s="75" t="str">
        <x:v>未执行</x:v>
      </x:c>
      <x:c r="K4" s="76"/>
      <x:c r="L4" s="76"/>
      <x:c r="M4" s="76"/>
      <x:c r="N4" s="76"/>
      <x:c r="O4" s="76"/>
      <x:c r="P4" s="76"/>
    </x:row>
    <x:row r="5" ht="78" customHeight="1">
      <x:c r="A5" s="74" t="str">
        <x:v>ANS-ENTRY-002</x:v>
      </x:c>
      <x:c r="B5" s="74" t="str">
        <x:v>进入与恢复</x:v>
      </x:c>
      <x:c r="C5" s="74" t="str">
        <x:v>从练习册进入后保持来源和返回路径</x:v>
      </x:c>
      <x:c r="D5" s="74" t="str">
        <x:v>P0</x:v>
      </x:c>
      <x:c r="E5" s="74" t="str">
        <x:v>流程</x:v>
      </x:c>
      <x:c r="F5" s="74" t="str">
        <x:v>学生已登录；当前考试存在可开始的练习本；没有进行中题库练习</x:v>
      </x:c>
      <x:c r="G5" s="74" t="str">
        <x:v>练习本A；12题；不限时</x:v>
      </x:c>
      <x:c r="H5" s="74" t="str">
        <x:v>1. 进入练习册并打开练习本A
2. 点击开始练习并等待答题页出现
3. 核对顶部返回入口、题量和当前练习标题
4. 作答一题后点击返回并确认保存
5. 核对返回练习册且练习本A显示继续练习
6. 再次继续并确认回到原答题记录</x:v>
      </x:c>
      <x:c r="I5" s="74" t="str">
        <x:v>答题页识别练习册来源；返回目标为练习册而不是试题库；继续后题目、答案和进度保持不变。</x:v>
      </x:c>
      <x:c r="J5" s="75" t="str">
        <x:v>未执行</x:v>
      </x:c>
      <x:c r="K5" s="76"/>
      <x:c r="L5" s="76"/>
      <x:c r="M5" s="76"/>
      <x:c r="N5" s="76"/>
      <x:c r="O5" s="76"/>
      <x:c r="P5" s="76"/>
    </x:row>
    <x:row r="6" ht="78" customHeight="1">
      <x:c r="A6" s="73" t="str">
        <x:v>ANS-ENTRY-003</x:v>
      </x:c>
      <x:c r="B6" s="73" t="str">
        <x:v>进入与恢复</x:v>
      </x:c>
      <x:c r="C6" s="73" t="str">
        <x:v>恢复时优先回到原题并正确降级定位</x:v>
      </x:c>
      <x:c r="D6" s="73" t="str">
        <x:v>P0</x:v>
      </x:c>
      <x:c r="E6" s="73" t="str">
        <x:v>流程</x:v>
      </x:c>
      <x:c r="F6" s="73" t="str">
        <x:v>准备一场已保存的8题练习；第2题已答，第3题跳过，第5题为最后查看题</x:v>
      </x:c>
      <x:c r="G6" s="73" t="str">
        <x:v>场景A：保留原查看位置；场景B：位置不可恢复；场景C：全部已答</x:v>
      </x:c>
      <x:c r="H6" s="73" t="str">
        <x:v>1. 按场景A进入第5题并刷新页面
2. 核对仍显示第5题及原答案状态
3. 按场景B清除本浏览器位置线索后重新进入
4. 核对进入第一道未答题
5. 将全部题目答完并保存后再次进入
6. 核对进入最后一题且未创建新记录</x:v>
      </x:c>
      <x:c r="I6" s="73" t="str">
        <x:v>同一浏览器可恢复刷新前题目；无法取得位置时进入第一道未答题；全部已答时进入最后一题；所有场景均继续原记录。</x:v>
      </x:c>
      <x:c r="J6" s="75" t="str">
        <x:v>未执行</x:v>
      </x:c>
      <x:c r="K6" s="76"/>
      <x:c r="L6" s="76"/>
      <x:c r="M6" s="76"/>
      <x:c r="N6" s="76"/>
      <x:c r="O6" s="76"/>
      <x:c r="P6" s="76"/>
    </x:row>
    <x:row r="7" ht="78" customHeight="1">
      <x:c r="A7" s="74" t="str">
        <x:v>ANS-ENTRY-004</x:v>
      </x:c>
      <x:c r="B7" s="74" t="str">
        <x:v>进入与恢复</x:v>
      </x:c>
      <x:c r="C7" s="74" t="str">
        <x:v>加载中、加载失败与真正无题状态明确区分</x:v>
      </x:c>
      <x:c r="D7" s="74" t="str">
        <x:v>P0</x:v>
      </x:c>
      <x:c r="E7" s="74" t="str">
        <x:v>异常</x:v>
      </x:c>
      <x:c r="F7" s="74" t="str">
        <x:v>可分别模拟延迟加载、请求失败和成功返回0题</x:v>
      </x:c>
      <x:c r="G7" s="74" t="str">
        <x:v>延迟3秒；网络失败；成功空数据</x:v>
      </x:c>
      <x:c r="H7" s="74" t="str">
        <x:v>1. 分别使用三组数据进入普通练习答题页
2. 在延迟组观察题目出现前的页面状态和可操作性
3. 在失败组核对错误提示并点击重新加载
4. 在空数据组核对页面提示
5. 核对三组均未产生额外作答记录</x:v>
      </x:c>
      <x:c r="I7" s="74" t="str">
        <x:v>延迟时显示加载提示且不可作答；失败时显示无法加载和重新加载；只有成功0题时显示无题；三种状态不混用。</x:v>
      </x:c>
      <x:c r="J7" s="75" t="str">
        <x:v>未执行</x:v>
      </x:c>
      <x:c r="K7" s="76"/>
      <x:c r="L7" s="76"/>
      <x:c r="M7" s="76"/>
      <x:c r="N7" s="76" t="str">
        <x:v>当前实现待对齐：普通练习加载失败与无题目前共用“暂无题目数据”。</x:v>
      </x:c>
      <x:c r="O7" s="76"/>
      <x:c r="P7" s="76"/>
    </x:row>
  </x:sheetData>
  <x:mergeCells>
    <x:mergeCell ref="A1:P1"/>
    <x:mergeCell ref="A2:P2"/>
  </x:mergeCells>
  <x:conditionalFormatting sqref="D4:D7">
    <x:cfRule type="containsText" dxfId="0" priority="1" operator="containsText" text="P0"/>
    <x:cfRule type="containsText" dxfId="1" priority="2" operator="containsText" text="P1"/>
  </x:conditionalFormatting>
  <x:conditionalFormatting sqref="J4:J7">
    <x:cfRule type="containsText" dxfId="2" priority="3" operator="containsText" text="通过"/>
    <x:cfRule type="containsText" dxfId="3" priority="4" operator="containsText" text="失败"/>
    <x:cfRule type="containsText" dxfId="4" priority="5" operator="containsText" text="阻塞"/>
  </x:conditionalFormatting>
  <x:conditionalFormatting sqref="K4:K7">
    <x:cfRule type="containsText" dxfId="5" priority="6" operator="containsText" text="是"/>
    <x:cfRule type="containsText" dxfId="6" priority="7" operator="containsText" text="否"/>
  </x:conditionalFormatting>
  <x:conditionalFormatting sqref="L4:L7">
    <x:cfRule type="containsText" dxfId="7" priority="8" operator="containsText" text="阻塞"/>
    <x:cfRule type="containsText" dxfId="8" priority="9" operator="containsText" text="高"/>
  </x:conditionalFormatting>
  <x:conditionalFormatting sqref="O4:O7">
    <x:cfRule type="containsText" dxfId="9" priority="10" operator="containsText" text="已完成"/>
  </x:conditionalFormatting>
  <x:conditionalFormatting sqref="P4:P7">
    <x:cfRule type="containsText" dxfId="10" priority="11" operator="containsText" text="通过"/>
    <x:cfRule type="containsText" dxfId="11" priority="12" operator="containsText" text="不通过"/>
  </x:conditionalFormatting>
  <x:dataValidations count="7">
    <x:dataValidation type="list" sqref="D4:D7">
      <x:formula1>"P0,P1,P2,P3"</x:formula1>
    </x:dataValidation>
    <x:dataValidation type="list" sqref="E4:E7">
      <x:formula1>"功能,流程,校验,权限,安全,异常"</x:formula1>
    </x:dataValidation>
    <x:dataValidation type="list" sqref="J4:J7">
      <x:formula1>"未执行,通过,失败,阻塞,不适用"</x:formula1>
    </x:dataValidation>
    <x:dataValidation type="list" sqref="K4:K7">
      <x:formula1>"是,否"</x:formula1>
    </x:dataValidation>
    <x:dataValidation type="list" sqref="L4:L7">
      <x:formula1>"阻塞,高,中,低,轻微"</x:formula1>
    </x:dataValidation>
    <x:dataValidation type="list" sqref="O4:O7">
      <x:formula1>"已完成,待讨论,暂不修复"</x:formula1>
    </x:dataValidation>
    <x:dataValidation type="list" sqref="P4:P7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6944be54ad4a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9" hidden="0" customWidth="1"/>
    <x:col min="5" max="5" width="11" hidden="0" customWidth="1"/>
    <x:col min="6" max="6" width="28" hidden="0" customWidth="1"/>
    <x:col min="7" max="7" width="28" hidden="0" customWidth="1"/>
    <x:col min="8" max="8" width="40" hidden="0" customWidth="1"/>
    <x:col min="9" max="9" width="44" hidden="0" customWidth="1"/>
    <x:col min="10" max="10" width="12" hidden="0" customWidth="1"/>
    <x:col min="11" max="11" width="11" hidden="0" customWidth="1"/>
    <x:col min="12" max="12" width="11" hidden="0" customWidth="1"/>
    <x:col min="13" max="13" width="28" hidden="0" customWidth="1"/>
    <x:col min="14" max="14" width="23" hidden="0" customWidth="1"/>
    <x:col min="15" max="15" width="12" hidden="0" customWidth="1"/>
    <x:col min="16" max="16" width="12" hidden="0" customWidth="1"/>
  </x:cols>
  <x:sheetData>
    <x:row r="1" ht="27" customHeight="1">
      <x:c r="A1" s="61" t="str">
        <x:v>4.6 在线答题人工测试用例｜页面与渲染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</x:row>
    <x:row r="2" ht="20" customHeight="1">
      <x:c r="A2" s="63" t="str">
        <x:v>来源：文档/4-需求文档/4.6 在线答题.md　｜　范围：P0页面操作、状态旅程与可见结果　｜　页面与渲染：5 条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</x:row>
    <x:row r="3" ht="28" customHeight="1">
      <x:c r="A3" s="68" t="str">
        <x:v>用例编号</x:v>
      </x:c>
      <x:c r="B3" s="68" t="str">
        <x:v>功能模块</x:v>
      </x:c>
      <x:c r="C3" s="68" t="str">
        <x:v>用例标题</x:v>
      </x:c>
      <x:c r="D3" s="68" t="str">
        <x:v>优先级</x:v>
      </x:c>
      <x:c r="E3" s="68" t="str">
        <x:v>用例类型</x:v>
      </x:c>
      <x:c r="F3" s="68" t="str">
        <x:v>前置条件</x:v>
      </x:c>
      <x:c r="G3" s="68" t="str">
        <x:v>测试数据</x:v>
      </x:c>
      <x:c r="H3" s="68" t="str">
        <x:v>操作步骤</x:v>
      </x:c>
      <x:c r="I3" s="68" t="str">
        <x:v>预期结果</x:v>
      </x:c>
      <x:c r="J3" s="68" t="str">
        <x:v>执行状态</x:v>
      </x:c>
      <x:c r="K3" s="68" t="str">
        <x:v>是否通过</x:v>
      </x:c>
      <x:c r="L3" s="68" t="str">
        <x:v>缺陷等级</x:v>
      </x:c>
      <x:c r="M3" s="68" t="str">
        <x:v>实际结果</x:v>
      </x:c>
      <x:c r="N3" s="68" t="str">
        <x:v>备注</x:v>
      </x:c>
      <x:c r="O3" s="68" t="str">
        <x:v>修复情况</x:v>
      </x:c>
      <x:c r="P3" s="68" t="str">
        <x:v>回归情况</x:v>
      </x:c>
    </x:row>
    <x:row r="4" ht="78" customHeight="1">
      <x:c r="A4" s="73" t="str">
        <x:v>ANS-UI-001</x:v>
      </x:c>
      <x:c r="B4" s="73" t="str">
        <x:v>页面与渲染</x:v>
      </x:c>
      <x:c r="C4" s="73" t="str">
        <x:v>三类答题场景顶部信息与计时含义正确</x:v>
      </x:c>
      <x:c r="D4" s="73" t="str">
        <x:v>P0</x:v>
      </x:c>
      <x:c r="E4" s="73" t="str">
        <x:v>校验</x:v>
      </x:c>
      <x:c r="F4" s="73" t="str">
        <x:v>分别准备不限时练习、限时练习和诊断当前分段</x:v>
      </x:c>
      <x:c r="G4" s="73" t="str">
        <x:v>不限时8题；限时10分钟8题；诊断当前科目20题</x:v>
      </x:c>
      <x:c r="H4" s="73" t="str">
        <x:v>1. 依次进入三类答题场景
2. 记录顶部返回入口、场景或科目名称、当前题号和总题量
3. 观察计时器方向并等待至少3秒
4. 作答一题并观察进度变化
5. 分别核对返回目标</x:v>
      </x:c>
      <x:c r="I4" s="73" t="str">
        <x:v>不限时练习正计时，限时练习和诊断分段倒计时；题号显示浏览位置，进度按已答数量变化；返回目标分别对应试题库/练习册或诊断中心。</x:v>
      </x:c>
      <x:c r="J4" s="75" t="str">
        <x:v>未执行</x:v>
      </x:c>
      <x:c r="K4" s="76"/>
      <x:c r="L4" s="76"/>
      <x:c r="M4" s="76"/>
      <x:c r="N4" s="76"/>
      <x:c r="O4" s="76"/>
      <x:c r="P4" s="76"/>
    </x:row>
    <x:row r="5" ht="78" customHeight="1">
      <x:c r="A5" s="74" t="str">
        <x:v>ANS-UI-002</x:v>
      </x:c>
      <x:c r="B5" s="74" t="str">
        <x:v>页面与渲染</x:v>
      </x:c>
      <x:c r="C5" s="74" t="str">
        <x:v>题号导航和状态数量随浏览作答同步变化</x:v>
      </x:c>
      <x:c r="D5" s="74" t="str">
        <x:v>P0</x:v>
      </x:c>
      <x:c r="E5" s="74" t="str">
        <x:v>功能</x:v>
      </x:c>
      <x:c r="F5" s="74" t="str">
        <x:v>进入至少5题的普通练习</x:v>
      </x:c>
      <x:c r="G5" s="74" t="str">
        <x:v>第1题已答；第2题查看后跳过；第3题未查看</x:v>
      </x:c>
      <x:c r="H5" s="74" t="str">
        <x:v>1. 在第1题选择答案并等待保存
2. 进入第2题但不选择答案，再进入第4题
3. 核对第1、2、3、4题题号样式
4. 核对已答、跳过和未答数量
5. 返回第2题作答后再次核对样式与数量</x:v>
      </x:c>
      <x:c r="I5" s="74" t="str">
        <x:v>当前、已答、跳过和未查看样式可区分；数量与实际状态一致；第2题作答后从跳过转为已答且汇总同步变化。</x:v>
      </x:c>
      <x:c r="J5" s="75" t="str">
        <x:v>未执行</x:v>
      </x:c>
      <x:c r="K5" s="76"/>
      <x:c r="L5" s="76"/>
      <x:c r="M5" s="76"/>
      <x:c r="N5" s="76"/>
      <x:c r="O5" s="76"/>
      <x:c r="P5" s="76"/>
    </x:row>
    <x:row r="6" ht="78" customHeight="1">
      <x:c r="A6" s="73" t="str">
        <x:v>ANS-UI-003</x:v>
      </x:c>
      <x:c r="B6" s="73" t="str">
        <x:v>页面与渲染</x:v>
      </x:c>
      <x:c r="C6" s="73" t="str">
        <x:v>文字公式图片和长短选项按原顺序可读展示</x:v>
      </x:c>
      <x:c r="D6" s="73" t="str">
        <x:v>P0</x:v>
      </x:c>
      <x:c r="E6" s="73" t="str">
        <x:v>功能</x:v>
      </x:c>
      <x:c r="F6" s="73" t="str">
        <x:v>准备含文字、行内/块级公式、SVG、普通图片、长选项和短选项的题目</x:v>
      </x:c>
      <x:c r="G6" s="73" t="str">
        <x:v>桌面宽屏与窄屏各执行一次</x:v>
      </x:c>
      <x:c r="H6" s="73" t="str">
        <x:v>1. 在桌面宽屏进入测试题并逐项核对内容顺序
2. 核对公式、SVG和普通图片均可辨认
3. 核对短选项可双列、长内容自动单列
4. 缩窄浏览器后再次核对内容顺序和选项完整性
5. 选择选项并切题再返回</x:v>
      </x:c>
      <x:c r="I6" s="73" t="str">
        <x:v>题干内容顺序不变；公式和图片不遮挡或截断关键信息；布局根据内容和宽度调整；选答与切题不破坏渲染。</x:v>
      </x:c>
      <x:c r="J6" s="75" t="str">
        <x:v>未执行</x:v>
      </x:c>
      <x:c r="K6" s="76"/>
      <x:c r="L6" s="76"/>
      <x:c r="M6" s="76"/>
      <x:c r="N6" s="76"/>
      <x:c r="O6" s="76"/>
      <x:c r="P6" s="76"/>
    </x:row>
    <x:row r="7" ht="78" customHeight="1">
      <x:c r="A7" s="74" t="str">
        <x:v>ANS-UI-004</x:v>
      </x:c>
      <x:c r="B7" s="74" t="str">
        <x:v>页面与渲染</x:v>
      </x:c>
      <x:c r="C7" s="74" t="str">
        <x:v>当前只允许单选且交卷前不泄露答案</x:v>
      </x:c>
      <x:c r="D7" s="74" t="str">
        <x:v>P0</x:v>
      </x:c>
      <x:c r="E7" s="74" t="str">
        <x:v>校验</x:v>
      </x:c>
      <x:c r="F7" s="74" t="str">
        <x:v>进入含4个选项的正式练习题和诊断题</x:v>
      </x:c>
      <x:c r="G7" s="74" t="str">
        <x:v>依次选择A、C；分别包含答对和答错题</x:v>
      </x:c>
      <x:c r="H7" s="74" t="str">
        <x:v>1. 在练习题选择A并观察选中状态
2. 改选C并核对A取消、C选中
3. 在交卷前检查题卡和选项区域
4. 对诊断题重复选择与改选
5. 核对页面没有多选、填空或仿真考试入口</x:v>
      </x:c>
      <x:c r="I7" s="74" t="str">
        <x:v>每题同时最多一个选项被选中；改选替换旧答案；交卷或分段锁定前不显示正确答案、正误或解析；未交付题型和仿真模式无可用入口。</x:v>
      </x:c>
      <x:c r="J7" s="75" t="str">
        <x:v>未执行</x:v>
      </x:c>
      <x:c r="K7" s="76"/>
      <x:c r="L7" s="76"/>
      <x:c r="M7" s="76"/>
      <x:c r="N7" s="76"/>
      <x:c r="O7" s="76"/>
      <x:c r="P7" s="76"/>
    </x:row>
    <x:row r="8" ht="78" customHeight="1">
      <x:c r="A8" s="73" t="str">
        <x:v>ANS-UI-005</x:v>
      </x:c>
      <x:c r="B8" s="73" t="str">
        <x:v>页面与渲染</x:v>
      </x:c>
      <x:c r="C8" s="73" t="str">
        <x:v>首尾题翻题边界且到达末题不自动结束</x:v>
      </x:c>
      <x:c r="D8" s="73" t="str">
        <x:v>P0</x:v>
      </x:c>
      <x:c r="E8" s="73" t="str">
        <x:v>流程</x:v>
      </x:c>
      <x:c r="F8" s="73" t="str">
        <x:v>进入至少3题的普通练习和诊断分段</x:v>
      </x:c>
      <x:c r="G8" s="73" t="str">
        <x:v>第一题、第二题、最后一题</x:v>
      </x:c>
      <x:c r="H8" s="73" t="str">
        <x:v>1. 在第一题核对上一题按钮
2. 点击下一题进入第二题，再点击上一题返回
3. 通过下一题或题号进入最后一题
4. 核对下一题按钮状态并等待数秒
5. 在普通练习和诊断分段分别重复末题检查</x:v>
      </x:c>
      <x:c r="I8" s="73" t="str">
        <x:v>第一题不能向前、最后一题不能向后；中间题双向可用；进入或答完最后一题都不自动交卷或结束分段。</x:v>
      </x:c>
      <x:c r="J8" s="75" t="str">
        <x:v>未执行</x:v>
      </x:c>
      <x:c r="K8" s="76"/>
      <x:c r="L8" s="76"/>
      <x:c r="M8" s="76"/>
      <x:c r="N8" s="76"/>
      <x:c r="O8" s="76"/>
      <x:c r="P8" s="76"/>
    </x:row>
  </x:sheetData>
  <x:mergeCells>
    <x:mergeCell ref="A1:P1"/>
    <x:mergeCell ref="A2:P2"/>
  </x:mergeCells>
  <x:conditionalFormatting sqref="D4:D8">
    <x:cfRule type="containsText" dxfId="12" priority="1" operator="containsText" text="P0"/>
    <x:cfRule type="containsText" dxfId="13" priority="2" operator="containsText" text="P1"/>
  </x:conditionalFormatting>
  <x:conditionalFormatting sqref="J4:J8">
    <x:cfRule type="containsText" dxfId="14" priority="3" operator="containsText" text="通过"/>
    <x:cfRule type="containsText" dxfId="15" priority="4" operator="containsText" text="失败"/>
    <x:cfRule type="containsText" dxfId="16" priority="5" operator="containsText" text="阻塞"/>
  </x:conditionalFormatting>
  <x:conditionalFormatting sqref="K4:K8">
    <x:cfRule type="containsText" dxfId="17" priority="6" operator="containsText" text="是"/>
    <x:cfRule type="containsText" dxfId="18" priority="7" operator="containsText" text="否"/>
  </x:conditionalFormatting>
  <x:conditionalFormatting sqref="L4:L8">
    <x:cfRule type="containsText" dxfId="19" priority="8" operator="containsText" text="阻塞"/>
    <x:cfRule type="containsText" dxfId="20" priority="9" operator="containsText" text="高"/>
  </x:conditionalFormatting>
  <x:conditionalFormatting sqref="O4:O8">
    <x:cfRule type="containsText" dxfId="21" priority="10" operator="containsText" text="已完成"/>
  </x:conditionalFormatting>
  <x:conditionalFormatting sqref="P4:P8">
    <x:cfRule type="containsText" dxfId="22" priority="11" operator="containsText" text="通过"/>
    <x:cfRule type="containsText" dxfId="23" priority="12" operator="containsText" text="不通过"/>
  </x:conditionalFormatting>
  <x:dataValidations count="7">
    <x:dataValidation type="list" sqref="D4:D8">
      <x:formula1>"P0,P1,P2,P3"</x:formula1>
    </x:dataValidation>
    <x:dataValidation type="list" sqref="E4:E8">
      <x:formula1>"功能,流程,校验,权限,安全,异常"</x:formula1>
    </x:dataValidation>
    <x:dataValidation type="list" sqref="J4:J8">
      <x:formula1>"未执行,通过,失败,阻塞,不适用"</x:formula1>
    </x:dataValidation>
    <x:dataValidation type="list" sqref="K4:K8">
      <x:formula1>"是,否"</x:formula1>
    </x:dataValidation>
    <x:dataValidation type="list" sqref="L4:L8">
      <x:formula1>"阻塞,高,中,低,轻微"</x:formula1>
    </x:dataValidation>
    <x:dataValidation type="list" sqref="O4:O8">
      <x:formula1>"已完成,待讨论,暂不修复"</x:formula1>
    </x:dataValidation>
    <x:dataValidation type="list" sqref="P4:P8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a77d401ce244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9" hidden="0" customWidth="1"/>
    <x:col min="5" max="5" width="11" hidden="0" customWidth="1"/>
    <x:col min="6" max="6" width="28" hidden="0" customWidth="1"/>
    <x:col min="7" max="7" width="28" hidden="0" customWidth="1"/>
    <x:col min="8" max="8" width="40" hidden="0" customWidth="1"/>
    <x:col min="9" max="9" width="44" hidden="0" customWidth="1"/>
    <x:col min="10" max="10" width="12" hidden="0" customWidth="1"/>
    <x:col min="11" max="11" width="11" hidden="0" customWidth="1"/>
    <x:col min="12" max="12" width="11" hidden="0" customWidth="1"/>
    <x:col min="13" max="13" width="28" hidden="0" customWidth="1"/>
    <x:col min="14" max="14" width="23" hidden="0" customWidth="1"/>
    <x:col min="15" max="15" width="12" hidden="0" customWidth="1"/>
    <x:col min="16" max="16" width="12" hidden="0" customWidth="1"/>
  </x:cols>
  <x:sheetData>
    <x:row r="1" ht="27" customHeight="1">
      <x:c r="A1" s="61" t="str">
        <x:v>4.6 在线答题人工测试用例｜作答与导航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</x:row>
    <x:row r="2" ht="20" customHeight="1">
      <x:c r="A2" s="63" t="str">
        <x:v>来源：文档/4-需求文档/4.6 在线答题.md　｜　范围：P0页面操作、状态旅程与可见结果　｜　作答与导航：4 条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</x:row>
    <x:row r="3" ht="28" customHeight="1">
      <x:c r="A3" s="68" t="str">
        <x:v>用例编号</x:v>
      </x:c>
      <x:c r="B3" s="68" t="str">
        <x:v>功能模块</x:v>
      </x:c>
      <x:c r="C3" s="68" t="str">
        <x:v>用例标题</x:v>
      </x:c>
      <x:c r="D3" s="68" t="str">
        <x:v>优先级</x:v>
      </x:c>
      <x:c r="E3" s="68" t="str">
        <x:v>用例类型</x:v>
      </x:c>
      <x:c r="F3" s="68" t="str">
        <x:v>前置条件</x:v>
      </x:c>
      <x:c r="G3" s="68" t="str">
        <x:v>测试数据</x:v>
      </x:c>
      <x:c r="H3" s="68" t="str">
        <x:v>操作步骤</x:v>
      </x:c>
      <x:c r="I3" s="68" t="str">
        <x:v>预期结果</x:v>
      </x:c>
      <x:c r="J3" s="68" t="str">
        <x:v>执行状态</x:v>
      </x:c>
      <x:c r="K3" s="68" t="str">
        <x:v>是否通过</x:v>
      </x:c>
      <x:c r="L3" s="68" t="str">
        <x:v>缺陷等级</x:v>
      </x:c>
      <x:c r="M3" s="68" t="str">
        <x:v>实际结果</x:v>
      </x:c>
      <x:c r="N3" s="68" t="str">
        <x:v>备注</x:v>
      </x:c>
      <x:c r="O3" s="68" t="str">
        <x:v>修复情况</x:v>
      </x:c>
      <x:c r="P3" s="68" t="str">
        <x:v>回归情况</x:v>
      </x:c>
    </x:row>
    <x:row r="4" ht="78" customHeight="1">
      <x:c r="A4" s="73" t="str">
        <x:v>ANS-ACT-001</x:v>
      </x:c>
      <x:c r="B4" s="73" t="str">
        <x:v>作答与导航</x:v>
      </x:c>
      <x:c r="C4" s="73" t="str">
        <x:v>选择和改答以最后一次成功保存为准</x:v>
      </x:c>
      <x:c r="D4" s="73" t="str">
        <x:v>P0</x:v>
      </x:c>
      <x:c r="E4" s="73" t="str">
        <x:v>功能</x:v>
      </x:c>
      <x:c r="F4" s="73" t="str">
        <x:v>进入普通练习；网络正常</x:v>
      </x:c>
      <x:c r="G4" s="73" t="str">
        <x:v>第1题A→C；第2题B</x:v>
      </x:c>
      <x:c r="H4" s="73" t="str">
        <x:v>1. 第1题选择A并观察即时选中
2. 改选C并等待出现已保存
3. 进入第2题选择B并等待保存
4. 返回第1题核对C仍选中
5. 刷新页面后再次核对第1、2题</x:v>
      </x:c>
      <x:c r="I4" s="73" t="str">
        <x:v>改答即时替换；恢复后第1题为C、第2题为B；旧答案A不再作为本场最终答案。</x:v>
      </x:c>
      <x:c r="J4" s="75" t="str">
        <x:v>未执行</x:v>
      </x:c>
      <x:c r="K4" s="76"/>
      <x:c r="L4" s="76"/>
      <x:c r="M4" s="76"/>
      <x:c r="N4" s="76"/>
      <x:c r="O4" s="76"/>
      <x:c r="P4" s="76"/>
    </x:row>
    <x:row r="5" ht="78" customHeight="1">
      <x:c r="A5" s="74" t="str">
        <x:v>ANS-ACT-002</x:v>
      </x:c>
      <x:c r="B5" s="74" t="str">
        <x:v>作答与导航</x:v>
      </x:c>
      <x:c r="C5" s="74" t="str">
        <x:v>未作答翻题不会被系统自动选择答案</x:v>
      </x:c>
      <x:c r="D5" s="74" t="str">
        <x:v>P0</x:v>
      </x:c>
      <x:c r="E5" s="74" t="str">
        <x:v>功能</x:v>
      </x:c>
      <x:c r="F5" s="74" t="str">
        <x:v>进入至少4题的练习</x:v>
      </x:c>
      <x:c r="G5" s="74" t="str">
        <x:v>第1题直接下一题；第2题通过题号跳到第4题</x:v>
      </x:c>
      <x:c r="H5" s="74" t="str">
        <x:v>1. 第1题不选择答案直接点击下一题
2. 第2题不选择答案点击第4题题号
3. 核对第1、2题状态及未答数量
4. 返回第1题检查所有选项
5. 刷新后再次检查第1、2题</x:v>
      </x:c>
      <x:c r="I5" s="74" t="str">
        <x:v>系统不自动选择任何选项；已查看未答题记为跳过，答案保持空；刷新后仍为空且未答数量正确。</x:v>
      </x:c>
      <x:c r="J5" s="75" t="str">
        <x:v>未执行</x:v>
      </x:c>
      <x:c r="K5" s="76"/>
      <x:c r="L5" s="76"/>
      <x:c r="M5" s="76"/>
      <x:c r="N5" s="76"/>
      <x:c r="O5" s="76"/>
      <x:c r="P5" s="76"/>
    </x:row>
    <x:row r="6" ht="78" customHeight="1">
      <x:c r="A6" s="73" t="str">
        <x:v>ANS-ACT-003</x:v>
      </x:c>
      <x:c r="B6" s="73" t="str">
        <x:v>作答与导航</x:v>
      </x:c>
      <x:c r="C6" s="73" t="str">
        <x:v>进度条只按已答数量变化而非浏览位置</x:v>
      </x:c>
      <x:c r="D6" s="73" t="str">
        <x:v>P0</x:v>
      </x:c>
      <x:c r="E6" s="73" t="str">
        <x:v>校验</x:v>
      </x:c>
      <x:c r="F6" s="73" t="str">
        <x:v>进入10题普通练习</x:v>
      </x:c>
      <x:c r="G6" s="73" t="str">
        <x:v>先浏览第10题不作答，再回答第10、1、5题</x:v>
      </x:c>
      <x:c r="H6" s="73" t="str">
        <x:v>1. 记录初始进度P0
2. 直接进入第10题但不作答，记录P1
3. 回答第10题，记录P2
4. 再回答第1题和第5题，记录P3
5. 对照已答数量和当前题号</x:v>
      </x:c>
      <x:c r="I6" s="73" t="str">
        <x:v>只浏览第10题时P1=P0；答1题后进度为1/10，答3题后为3/10；当前题号独立显示浏览位置。</x:v>
      </x:c>
      <x:c r="J6" s="75" t="str">
        <x:v>未执行</x:v>
      </x:c>
      <x:c r="K6" s="76"/>
      <x:c r="L6" s="76"/>
      <x:c r="M6" s="76"/>
      <x:c r="N6" s="76" t="str">
        <x:v>当前实现待对齐：普通练习进度条目前按浏览题号推进。</x:v>
      </x:c>
      <x:c r="O6" s="76"/>
      <x:c r="P6" s="76"/>
    </x:row>
    <x:row r="7" ht="78" customHeight="1">
      <x:c r="A7" s="74" t="str">
        <x:v>ANS-ACT-004</x:v>
      </x:c>
      <x:c r="B7" s="74" t="str">
        <x:v>作答与导航</x:v>
      </x:c>
      <x:c r="C7" s="74" t="str">
        <x:v>诊断答题导航只开放当前分段</x:v>
      </x:c>
      <x:c r="D7" s="74" t="str">
        <x:v>P0</x:v>
      </x:c>
      <x:c r="E7" s="74" t="str">
        <x:v>权限</x:v>
      </x:c>
      <x:c r="F7" s="74" t="str">
        <x:v>准备含多个科目或Paper的进行中诊断测试</x:v>
      </x:c>
      <x:c r="G7" s="74" t="str">
        <x:v>ESAT第二科或TMUA Paper 2；上一分段已锁定</x:v>
      </x:c>
      <x:c r="H7" s="74" t="str">
        <x:v>1. 进入当前诊断分段并记录分段进度列表
2. 核对题号导航只列出当前分段题目
3. 尝试通过浏览器返回或地址变化访问上一分段题目
4. 尝试访问尚未开始的下一分段题目
5. 刷新并核对仍回到服务端当前分段</x:v>
      </x:c>
      <x:c r="I7" s="74" t="str">
        <x:v>只有当前分段题目可查看和作答；已锁定与未来分段不可通过题号、返回或地址访问；刷新服从服务端真实阶段。</x:v>
      </x:c>
      <x:c r="J7" s="75" t="str">
        <x:v>未执行</x:v>
      </x:c>
      <x:c r="K7" s="76"/>
      <x:c r="L7" s="76"/>
      <x:c r="M7" s="76"/>
      <x:c r="N7" s="76"/>
      <x:c r="O7" s="76"/>
      <x:c r="P7" s="76"/>
    </x:row>
  </x:sheetData>
  <x:mergeCells>
    <x:mergeCell ref="A1:P1"/>
    <x:mergeCell ref="A2:P2"/>
  </x:mergeCells>
  <x:conditionalFormatting sqref="D4:D7">
    <x:cfRule type="containsText" dxfId="24" priority="1" operator="containsText" text="P0"/>
    <x:cfRule type="containsText" dxfId="25" priority="2" operator="containsText" text="P1"/>
  </x:conditionalFormatting>
  <x:conditionalFormatting sqref="J4:J7">
    <x:cfRule type="containsText" dxfId="26" priority="3" operator="containsText" text="通过"/>
    <x:cfRule type="containsText" dxfId="27" priority="4" operator="containsText" text="失败"/>
    <x:cfRule type="containsText" dxfId="28" priority="5" operator="containsText" text="阻塞"/>
  </x:conditionalFormatting>
  <x:conditionalFormatting sqref="K4:K7">
    <x:cfRule type="containsText" dxfId="29" priority="6" operator="containsText" text="是"/>
    <x:cfRule type="containsText" dxfId="30" priority="7" operator="containsText" text="否"/>
  </x:conditionalFormatting>
  <x:conditionalFormatting sqref="L4:L7">
    <x:cfRule type="containsText" dxfId="31" priority="8" operator="containsText" text="阻塞"/>
    <x:cfRule type="containsText" dxfId="32" priority="9" operator="containsText" text="高"/>
  </x:conditionalFormatting>
  <x:conditionalFormatting sqref="O4:O7">
    <x:cfRule type="containsText" dxfId="33" priority="10" operator="containsText" text="已完成"/>
  </x:conditionalFormatting>
  <x:conditionalFormatting sqref="P4:P7">
    <x:cfRule type="containsText" dxfId="34" priority="11" operator="containsText" text="通过"/>
    <x:cfRule type="containsText" dxfId="35" priority="12" operator="containsText" text="不通过"/>
  </x:conditionalFormatting>
  <x:dataValidations count="7">
    <x:dataValidation type="list" sqref="D4:D7">
      <x:formula1>"P0,P1,P2,P3"</x:formula1>
    </x:dataValidation>
    <x:dataValidation type="list" sqref="E4:E7">
      <x:formula1>"功能,流程,校验,权限,安全,异常"</x:formula1>
    </x:dataValidation>
    <x:dataValidation type="list" sqref="J4:J7">
      <x:formula1>"未执行,通过,失败,阻塞,不适用"</x:formula1>
    </x:dataValidation>
    <x:dataValidation type="list" sqref="K4:K7">
      <x:formula1>"是,否"</x:formula1>
    </x:dataValidation>
    <x:dataValidation type="list" sqref="L4:L7">
      <x:formula1>"阻塞,高,中,低,轻微"</x:formula1>
    </x:dataValidation>
    <x:dataValidation type="list" sqref="O4:O7">
      <x:formula1>"已完成,待讨论,暂不修复"</x:formula1>
    </x:dataValidation>
    <x:dataValidation type="list" sqref="P4:P7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eca33783934b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9" hidden="0" customWidth="1"/>
    <x:col min="5" max="5" width="11" hidden="0" customWidth="1"/>
    <x:col min="6" max="6" width="28" hidden="0" customWidth="1"/>
    <x:col min="7" max="7" width="28" hidden="0" customWidth="1"/>
    <x:col min="8" max="8" width="40" hidden="0" customWidth="1"/>
    <x:col min="9" max="9" width="44" hidden="0" customWidth="1"/>
    <x:col min="10" max="10" width="12" hidden="0" customWidth="1"/>
    <x:col min="11" max="11" width="11" hidden="0" customWidth="1"/>
    <x:col min="12" max="12" width="11" hidden="0" customWidth="1"/>
    <x:col min="13" max="13" width="28" hidden="0" customWidth="1"/>
    <x:col min="14" max="14" width="23" hidden="0" customWidth="1"/>
    <x:col min="15" max="15" width="12" hidden="0" customWidth="1"/>
    <x:col min="16" max="16" width="12" hidden="0" customWidth="1"/>
  </x:cols>
  <x:sheetData>
    <x:row r="1" ht="27" customHeight="1">
      <x:c r="A1" s="61" t="str">
        <x:v>4.6 在线答题人工测试用例｜保存与返回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</x:row>
    <x:row r="2" ht="20" customHeight="1">
      <x:c r="A2" s="63" t="str">
        <x:v>来源：文档/4-需求文档/4.6 在线答题.md　｜　范围：P0页面操作、状态旅程与可见结果　｜　保存与返回：5 条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</x:row>
    <x:row r="3" ht="28" customHeight="1">
      <x:c r="A3" s="68" t="str">
        <x:v>用例编号</x:v>
      </x:c>
      <x:c r="B3" s="68" t="str">
        <x:v>功能模块</x:v>
      </x:c>
      <x:c r="C3" s="68" t="str">
        <x:v>用例标题</x:v>
      </x:c>
      <x:c r="D3" s="68" t="str">
        <x:v>优先级</x:v>
      </x:c>
      <x:c r="E3" s="68" t="str">
        <x:v>用例类型</x:v>
      </x:c>
      <x:c r="F3" s="68" t="str">
        <x:v>前置条件</x:v>
      </x:c>
      <x:c r="G3" s="68" t="str">
        <x:v>测试数据</x:v>
      </x:c>
      <x:c r="H3" s="68" t="str">
        <x:v>操作步骤</x:v>
      </x:c>
      <x:c r="I3" s="68" t="str">
        <x:v>预期结果</x:v>
      </x:c>
      <x:c r="J3" s="68" t="str">
        <x:v>执行状态</x:v>
      </x:c>
      <x:c r="K3" s="68" t="str">
        <x:v>是否通过</x:v>
      </x:c>
      <x:c r="L3" s="68" t="str">
        <x:v>缺陷等级</x:v>
      </x:c>
      <x:c r="M3" s="68" t="str">
        <x:v>实际结果</x:v>
      </x:c>
      <x:c r="N3" s="68" t="str">
        <x:v>备注</x:v>
      </x:c>
      <x:c r="O3" s="68" t="str">
        <x:v>修复情况</x:v>
      </x:c>
      <x:c r="P3" s="68" t="str">
        <x:v>回归情况</x:v>
      </x:c>
    </x:row>
    <x:row r="4" ht="78" customHeight="1">
      <x:c r="A4" s="73" t="str">
        <x:v>ANS-SAVE-001</x:v>
      </x:c>
      <x:c r="B4" s="73" t="str">
        <x:v>保存与返回</x:v>
      </x:c>
      <x:c r="C4" s="73" t="str">
        <x:v>自动保存状态可见且不遮挡连续作答</x:v>
      </x:c>
      <x:c r="D4" s="73" t="str">
        <x:v>P0</x:v>
      </x:c>
      <x:c r="E4" s="73" t="str">
        <x:v>功能</x:v>
      </x:c>
      <x:c r="F4" s="73" t="str">
        <x:v>进入普通练习和诊断答题；网络正常</x:v>
      </x:c>
      <x:c r="G4" s="73" t="str">
        <x:v>选择答案后立即继续浏览题干</x:v>
      </x:c>
      <x:c r="H4" s="73" t="str">
        <x:v>1. 在普通练习选择答案并观察保存状态
2. 等待服务端确认并观察状态变化
3. 在诊断题重复同样操作
4. 保存过程中尝试阅读题干和查看题号导航
5. 刷新后核对答案已恢复</x:v>
      </x:c>
      <x:c r="I4" s="73" t="str">
        <x:v>页面以轻量方式依次显示保存中和已保存，不遮挡题目；只有确认成功后显示已保存；刷新可恢复答案。</x:v>
      </x:c>
      <x:c r="J4" s="75" t="str">
        <x:v>未执行</x:v>
      </x:c>
      <x:c r="K4" s="76"/>
      <x:c r="L4" s="76"/>
      <x:c r="M4" s="76"/>
      <x:c r="N4" s="76" t="str">
        <x:v>当前实现待对齐：普通练习与诊断测试均缺少完整的用户可见保存状态。</x:v>
      </x:c>
      <x:c r="O4" s="76"/>
      <x:c r="P4" s="76"/>
    </x:row>
    <x:row r="5" ht="78" customHeight="1">
      <x:c r="A5" s="74" t="str">
        <x:v>ANS-SAVE-002</x:v>
      </x:c>
      <x:c r="B5" s="74" t="str">
        <x:v>保存与返回</x:v>
      </x:c>
      <x:c r="C5" s="74" t="str">
        <x:v>切题保存答案并累计同题多次停留时间</x:v>
      </x:c>
      <x:c r="D5" s="74" t="str">
        <x:v>P0</x:v>
      </x:c>
      <x:c r="E5" s="74" t="str">
        <x:v>流程</x:v>
      </x:c>
      <x:c r="F5" s="74" t="str">
        <x:v>进入普通练习；可从交卷解析或测试记录核对单题用时</x:v>
      </x:c>
      <x:c r="G5" s="74" t="str">
        <x:v>第1题停留约5秒后切走，再返回停留约4秒</x:v>
      </x:c>
      <x:c r="H5" s="74" t="str">
        <x:v>1. 第1题选择答案并停留约5秒
2. 切到第2题并等待保存
3. 返回第1题停留约4秒后再次切走
4. 交卷并进入逐题解析或测试记录
5. 核对第1题答案和累计有效时间</x:v>
      </x:c>
      <x:c r="I5" s="74" t="str">
        <x:v>两次切题均保存当前状态；第1题答案正确恢复；单题有效时间约为两次前台停留之和，不包含其他题停留时间且不重复累计。</x:v>
      </x:c>
      <x:c r="J5" s="75" t="str">
        <x:v>未执行</x:v>
      </x:c>
      <x:c r="K5" s="76"/>
      <x:c r="L5" s="76"/>
      <x:c r="M5" s="76"/>
      <x:c r="N5" s="76"/>
      <x:c r="O5" s="76"/>
      <x:c r="P5" s="76"/>
    </x:row>
    <x:row r="6" ht="78" customHeight="1">
      <x:c r="A6" s="73" t="str">
        <x:v>ANS-SAVE-003</x:v>
      </x:c>
      <x:c r="B6" s="73" t="str">
        <x:v>保存与返回</x:v>
      </x:c>
      <x:c r="C6" s="73" t="str">
        <x:v>确认返回后从原来源继续同一场练习</x:v>
      </x:c>
      <x:c r="D6" s="73" t="str">
        <x:v>P0</x:v>
      </x:c>
      <x:c r="E6" s="73" t="str">
        <x:v>流程</x:v>
      </x:c>
      <x:c r="F6" s="73" t="str">
        <x:v>分别从试题库和练习册开始一场练习</x:v>
      </x:c>
      <x:c r="G6" s="73" t="str">
        <x:v>场景A试题库；场景B练习册；各答2题并跳过1题</x:v>
      </x:c>
      <x:c r="H6" s="73" t="str">
        <x:v>1. 按场景进入答题页并形成测试数据中的进度
2. 点击顶部返回并核对确认文案和返回目标
3. 点击继续答题，确认弹窗关闭且页面不跳转
4. 再次返回并选择保存后返回
5. 从来源页点击继续练习并核对答案、状态和题序</x:v>
      </x:c>
      <x:c r="I6" s="73" t="str">
        <x:v>取消返回时继续原页面；确认后保存并回到正确来源；再次继续为同一场记录，答案、状态、题序和累计时间保持。</x:v>
      </x:c>
      <x:c r="J6" s="75" t="str">
        <x:v>未执行</x:v>
      </x:c>
      <x:c r="K6" s="76"/>
      <x:c r="L6" s="76"/>
      <x:c r="M6" s="76"/>
      <x:c r="N6" s="76"/>
      <x:c r="O6" s="76"/>
      <x:c r="P6" s="76"/>
    </x:row>
    <x:row r="7" ht="78" customHeight="1">
      <x:c r="A7" s="74" t="str">
        <x:v>ANS-SAVE-004</x:v>
      </x:c>
      <x:c r="B7" s="74" t="str">
        <x:v>保存与返回</x:v>
      </x:c>
      <x:c r="C7" s="74" t="str">
        <x:v>返回前保存失败时阻止离开并允许重试</x:v>
      </x:c>
      <x:c r="D7" s="74" t="str">
        <x:v>P0</x:v>
      </x:c>
      <x:c r="E7" s="74" t="str">
        <x:v>异常</x:v>
      </x:c>
      <x:c r="F7" s="74" t="str">
        <x:v>进入练习并产生未保存答案；可模拟保存失败后恢复</x:v>
      </x:c>
      <x:c r="G7" s="74" t="str">
        <x:v>第一次保存失败；第二次成功</x:v>
      </x:c>
      <x:c r="H7" s="74" t="str">
        <x:v>1. 选择一个新答案并立即点击返回
2. 模拟保存失败并观察页面位置、答案和提示
3. 尝试使用浏览器内返回操作
4. 恢复网络并点击重试保存
5. 保存成功后再次返回并从来源继续</x:v>
      </x:c>
      <x:c r="I7" s="74" t="str">
        <x:v>失败时停留答题页、保留新答案并给出可理解提示；浏览器内跳转不绕过保护；重试成功后才离开，继续时恢复新答案。</x:v>
      </x:c>
      <x:c r="J7" s="75" t="str">
        <x:v>未执行</x:v>
      </x:c>
      <x:c r="K7" s="76"/>
      <x:c r="L7" s="76"/>
      <x:c r="M7" s="76"/>
      <x:c r="N7" s="76"/>
      <x:c r="O7" s="76"/>
      <x:c r="P7" s="76"/>
    </x:row>
    <x:row r="8" ht="78" customHeight="1">
      <x:c r="A8" s="73" t="str">
        <x:v>ANS-SAVE-005</x:v>
      </x:c>
      <x:c r="B8" s="73" t="str">
        <x:v>保存与返回</x:v>
      </x:c>
      <x:c r="C8" s="73" t="str">
        <x:v>异常关闭只恢复最后成功保存且存活页面可补交</x:v>
      </x:c>
      <x:c r="D8" s="73" t="str">
        <x:v>P0</x:v>
      </x:c>
      <x:c r="E8" s="73" t="str">
        <x:v>异常</x:v>
      </x:c>
      <x:c r="F8" s="73" t="str">
        <x:v>进入练习；准备一个已保存答案A和一个断网后未确认答案C</x:v>
      </x:c>
      <x:c r="G8" s="73" t="str">
        <x:v>场景A断网后页面仍打开；场景B断网后强制关闭浏览器</x:v>
      </x:c>
      <x:c r="H8" s="73" t="str">
        <x:v>1. 先选择A并确认已保存
2. 断网后改选C并核对保存失败但页面仍保留C
3. 场景A恢复网络并触发重试，刷新核对C
4. 重建初始状态并重复断网改选C
5. 场景B强制关闭后重新进入并核对恢复内容</x:v>
      </x:c>
      <x:c r="I8" s="73" t="str">
        <x:v>页面仍存活时网络恢复可补交最新C；强制关闭无法保证未保存C，重新进入以最后成功保存的A为准；两种场景均不创建新记录。</x:v>
      </x:c>
      <x:c r="J8" s="75" t="str">
        <x:v>未执行</x:v>
      </x:c>
      <x:c r="K8" s="76"/>
      <x:c r="L8" s="76"/>
      <x:c r="M8" s="76"/>
      <x:c r="N8" s="76"/>
      <x:c r="O8" s="76"/>
      <x:c r="P8" s="76"/>
    </x:row>
  </x:sheetData>
  <x:mergeCells>
    <x:mergeCell ref="A1:P1"/>
    <x:mergeCell ref="A2:P2"/>
  </x:mergeCells>
  <x:conditionalFormatting sqref="D4:D8">
    <x:cfRule type="containsText" dxfId="36" priority="1" operator="containsText" text="P0"/>
    <x:cfRule type="containsText" dxfId="37" priority="2" operator="containsText" text="P1"/>
  </x:conditionalFormatting>
  <x:conditionalFormatting sqref="J4:J8">
    <x:cfRule type="containsText" dxfId="38" priority="3" operator="containsText" text="通过"/>
    <x:cfRule type="containsText" dxfId="39" priority="4" operator="containsText" text="失败"/>
    <x:cfRule type="containsText" dxfId="40" priority="5" operator="containsText" text="阻塞"/>
  </x:conditionalFormatting>
  <x:conditionalFormatting sqref="K4:K8">
    <x:cfRule type="containsText" dxfId="41" priority="6" operator="containsText" text="是"/>
    <x:cfRule type="containsText" dxfId="42" priority="7" operator="containsText" text="否"/>
  </x:conditionalFormatting>
  <x:conditionalFormatting sqref="L4:L8">
    <x:cfRule type="containsText" dxfId="43" priority="8" operator="containsText" text="阻塞"/>
    <x:cfRule type="containsText" dxfId="44" priority="9" operator="containsText" text="高"/>
  </x:conditionalFormatting>
  <x:conditionalFormatting sqref="O4:O8">
    <x:cfRule type="containsText" dxfId="45" priority="10" operator="containsText" text="已完成"/>
  </x:conditionalFormatting>
  <x:conditionalFormatting sqref="P4:P8">
    <x:cfRule type="containsText" dxfId="46" priority="11" operator="containsText" text="通过"/>
    <x:cfRule type="containsText" dxfId="47" priority="12" operator="containsText" text="不通过"/>
  </x:conditionalFormatting>
  <x:dataValidations count="7">
    <x:dataValidation type="list" sqref="D4:D8">
      <x:formula1>"P0,P1,P2,P3"</x:formula1>
    </x:dataValidation>
    <x:dataValidation type="list" sqref="E4:E8">
      <x:formula1>"功能,流程,校验,权限,安全,异常"</x:formula1>
    </x:dataValidation>
    <x:dataValidation type="list" sqref="J4:J8">
      <x:formula1>"未执行,通过,失败,阻塞,不适用"</x:formula1>
    </x:dataValidation>
    <x:dataValidation type="list" sqref="K4:K8">
      <x:formula1>"是,否"</x:formula1>
    </x:dataValidation>
    <x:dataValidation type="list" sqref="L4:L8">
      <x:formula1>"阻塞,高,中,低,轻微"</x:formula1>
    </x:dataValidation>
    <x:dataValidation type="list" sqref="O4:O8">
      <x:formula1>"已完成,待讨论,暂不修复"</x:formula1>
    </x:dataValidation>
    <x:dataValidation type="list" sqref="P4:P8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4b79112c134e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9" hidden="0" customWidth="1"/>
    <x:col min="5" max="5" width="11" hidden="0" customWidth="1"/>
    <x:col min="6" max="6" width="28" hidden="0" customWidth="1"/>
    <x:col min="7" max="7" width="28" hidden="0" customWidth="1"/>
    <x:col min="8" max="8" width="40" hidden="0" customWidth="1"/>
    <x:col min="9" max="9" width="44" hidden="0" customWidth="1"/>
    <x:col min="10" max="10" width="12" hidden="0" customWidth="1"/>
    <x:col min="11" max="11" width="11" hidden="0" customWidth="1"/>
    <x:col min="12" max="12" width="11" hidden="0" customWidth="1"/>
    <x:col min="13" max="13" width="28" hidden="0" customWidth="1"/>
    <x:col min="14" max="14" width="23" hidden="0" customWidth="1"/>
    <x:col min="15" max="15" width="12" hidden="0" customWidth="1"/>
    <x:col min="16" max="16" width="12" hidden="0" customWidth="1"/>
  </x:cols>
  <x:sheetData>
    <x:row r="1" ht="27" customHeight="1">
      <x:c r="A1" s="61" t="str">
        <x:v>4.6 在线答题人工测试用例｜计时与切屏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</x:row>
    <x:row r="2" ht="20" customHeight="1">
      <x:c r="A2" s="63" t="str">
        <x:v>来源：文档/4-需求文档/4.6 在线答题.md　｜　范围：P0页面操作、状态旅程与可见结果　｜　计时与切屏：5 条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</x:row>
    <x:row r="3" ht="28" customHeight="1">
      <x:c r="A3" s="68" t="str">
        <x:v>用例编号</x:v>
      </x:c>
      <x:c r="B3" s="68" t="str">
        <x:v>功能模块</x:v>
      </x:c>
      <x:c r="C3" s="68" t="str">
        <x:v>用例标题</x:v>
      </x:c>
      <x:c r="D3" s="68" t="str">
        <x:v>优先级</x:v>
      </x:c>
      <x:c r="E3" s="68" t="str">
        <x:v>用例类型</x:v>
      </x:c>
      <x:c r="F3" s="68" t="str">
        <x:v>前置条件</x:v>
      </x:c>
      <x:c r="G3" s="68" t="str">
        <x:v>测试数据</x:v>
      </x:c>
      <x:c r="H3" s="68" t="str">
        <x:v>操作步骤</x:v>
      </x:c>
      <x:c r="I3" s="68" t="str">
        <x:v>预期结果</x:v>
      </x:c>
      <x:c r="J3" s="68" t="str">
        <x:v>执行状态</x:v>
      </x:c>
      <x:c r="K3" s="68" t="str">
        <x:v>是否通过</x:v>
      </x:c>
      <x:c r="L3" s="68" t="str">
        <x:v>缺陷等级</x:v>
      </x:c>
      <x:c r="M3" s="68" t="str">
        <x:v>实际结果</x:v>
      </x:c>
      <x:c r="N3" s="68" t="str">
        <x:v>备注</x:v>
      </x:c>
      <x:c r="O3" s="68" t="str">
        <x:v>修复情况</x:v>
      </x:c>
      <x:c r="P3" s="68" t="str">
        <x:v>回归情况</x:v>
      </x:c>
    </x:row>
    <x:row r="4" ht="78" customHeight="1">
      <x:c r="A4" s="73" t="str">
        <x:v>ANS-TIME-001</x:v>
      </x:c>
      <x:c r="B4" s="73" t="str">
        <x:v>计时与切屏</x:v>
      </x:c>
      <x:c r="C4" s="73" t="str">
        <x:v>不限时练习切屏暂停并确认后继续</x:v>
      </x:c>
      <x:c r="D4" s="73" t="str">
        <x:v>P0</x:v>
      </x:c>
      <x:c r="E4" s="73" t="str">
        <x:v>流程</x:v>
      </x:c>
      <x:c r="F4" s="73" t="str">
        <x:v>进入不限时普通练习并停留在一道题</x:v>
      </x:c>
      <x:c r="G4" s="73" t="str">
        <x:v>切出或锁屏约2分钟；记录整场时间T和当前题时间Q</x:v>
      </x:c>
      <x:c r="H4" s="73" t="str">
        <x:v>1. 等待计时运行后记录T和Q基线
2. 切到其他标签页或锁屏约2分钟
3. 返回页面并核对不可关闭的继续确认弹窗
4. 在未确认前观察计时，随后点击确定
5. 继续约5秒并核对整场和当前题时间</x:v>
      </x:c>
      <x:c r="I4" s="73" t="str">
        <x:v>隐藏期间整场和当前题均不增加；返回后必须确认才恢复；确认后的时间从原基线继续累计，不补算2分钟。</x:v>
      </x:c>
      <x:c r="J4" s="75" t="str">
        <x:v>未执行</x:v>
      </x:c>
      <x:c r="K4" s="76"/>
      <x:c r="L4" s="76"/>
      <x:c r="M4" s="76"/>
      <x:c r="N4" s="76"/>
      <x:c r="O4" s="76"/>
      <x:c r="P4" s="76"/>
    </x:row>
    <x:row r="5" ht="78" customHeight="1">
      <x:c r="A5" s="74" t="str">
        <x:v>ANS-TIME-002</x:v>
      </x:c>
      <x:c r="B5" s="74" t="str">
        <x:v>计时与切屏</x:v>
      </x:c>
      <x:c r="C5" s="74" t="str">
        <x:v>限时练习切屏整场继续但单题暂停</x:v>
      </x:c>
      <x:c r="D5" s="74" t="str">
        <x:v>P0</x:v>
      </x:c>
      <x:c r="E5" s="74" t="str">
        <x:v>流程</x:v>
      </x:c>
      <x:c r="F5" s="74" t="str">
        <x:v>进入剩余时间大于5分钟的限时练习</x:v>
      </x:c>
      <x:c r="G5" s="74" t="str">
        <x:v>切出约2分钟；记录剩余时间R和当前题时间Q</x:v>
      </x:c>
      <x:c r="H5" s="74" t="str">
        <x:v>1. 记录切出前R和Q
2. 切到其他标签页约2分钟
3. 返回并观察顶部计时与提示
4. 继续作答后完成交卷
5. 在结果或记录中核对当前题有效时间</x:v>
      </x:c>
      <x:c r="I5" s="74" t="str">
        <x:v>整场剩余时间约减少2分钟且不弹不限时继续确认；隐藏期间当前题有效时间不增加；若仍有时间则可继续作答。</x:v>
      </x:c>
      <x:c r="J5" s="75" t="str">
        <x:v>未执行</x:v>
      </x:c>
      <x:c r="K5" s="76"/>
      <x:c r="L5" s="76"/>
      <x:c r="M5" s="76"/>
      <x:c r="N5" s="76"/>
      <x:c r="O5" s="76"/>
      <x:c r="P5" s="76"/>
    </x:row>
    <x:row r="6" ht="78" customHeight="1">
      <x:c r="A6" s="73" t="str">
        <x:v>ANS-TIME-003</x:v>
      </x:c>
      <x:c r="B6" s="73" t="str">
        <x:v>计时与切屏</x:v>
      </x:c>
      <x:c r="C6" s="73" t="str">
        <x:v>剩余5分钟只出现一次警示</x:v>
      </x:c>
      <x:c r="D6" s="73" t="str">
        <x:v>P0</x:v>
      </x:c>
      <x:c r="E6" s="73" t="str">
        <x:v>校验</x:v>
      </x:c>
      <x:c r="F6" s="73" t="str">
        <x:v>可将限时练习或诊断分段推进到剩余5分钟附近</x:v>
      </x:c>
      <x:c r="G6" s="73" t="str">
        <x:v>5:01→5:00→4:59；切题、切屏返回和刷新</x:v>
      </x:c>
      <x:c r="H6" s="73" t="str">
        <x:v>1. 在5:01观察计时器样式和提醒
2. 等待进入5:00并记录警示和提醒次数
3. 在4:59切换题目并返回
4. 切出页面再返回当前分段
5. 在同一分段继续观察到更低时间</x:v>
      </x:c>
      <x:c r="I6" s="73" t="str">
        <x:v>不高于5分钟时进入警示状态；同一答题分段只提醒一次，切题和切回不重复提醒；计时持续准确。</x:v>
      </x:c>
      <x:c r="J6" s="75" t="str">
        <x:v>未执行</x:v>
      </x:c>
      <x:c r="K6" s="76"/>
      <x:c r="L6" s="76"/>
      <x:c r="M6" s="76"/>
      <x:c r="N6" s="76"/>
      <x:c r="O6" s="76"/>
      <x:c r="P6" s="76"/>
    </x:row>
    <x:row r="7" ht="78" customHeight="1">
      <x:c r="A7" s="74" t="str">
        <x:v>ANS-TIME-004</x:v>
      </x:c>
      <x:c r="B7" s="74" t="str">
        <x:v>计时与切屏</x:v>
      </x:c>
      <x:c r="C7" s="74" t="str">
        <x:v>限时练习到零立即锁定并自动交卷</x:v>
      </x:c>
      <x:c r="D7" s="74" t="str">
        <x:v>P0</x:v>
      </x:c>
      <x:c r="E7" s="74" t="str">
        <x:v>流程</x:v>
      </x:c>
      <x:c r="F7" s="74" t="str">
        <x:v>准备即将到期且含未答题的限时练习</x:v>
      </x:c>
      <x:c r="G7" s="74" t="str">
        <x:v>剩余3秒；当前题有未保存选择</x:v>
      </x:c>
      <x:c r="H7" s="74" t="str">
        <x:v>1. 在剩余3秒时选择答案并观察倒计时
2. 等待计时归零并核对时间结束提示
3. 尝试点击选项、题号、翻题和返回
4. 确认不可关闭提示
5. 等待交卷结果并从来源查看记录</x:v>
      </x:c>
      <x:c r="I7" s="74" t="str">
        <x:v>归零立即锁定所有作答入口；提示不能关闭后恢复答题；最终答案进入同一自动交卷流程并形成一条已交卷记录。</x:v>
      </x:c>
      <x:c r="J7" s="75" t="str">
        <x:v>未执行</x:v>
      </x:c>
      <x:c r="K7" s="76"/>
      <x:c r="L7" s="76"/>
      <x:c r="M7" s="76"/>
      <x:c r="N7" s="76"/>
      <x:c r="O7" s="76"/>
      <x:c r="P7" s="76"/>
    </x:row>
    <x:row r="8" ht="78" customHeight="1">
      <x:c r="A8" s="73" t="str">
        <x:v>ANS-TIME-005</x:v>
      </x:c>
      <x:c r="B8" s="73" t="str">
        <x:v>计时与切屏</x:v>
      </x:c>
      <x:c r="C8" s="73" t="str">
        <x:v>诊断切屏按服务端暂停恢复且失败不虚假冻结</x:v>
      </x:c>
      <x:c r="D8" s="73" t="str">
        <x:v>P0</x:v>
      </x:c>
      <x:c r="E8" s="73" t="str">
        <x:v>异常</x:v>
      </x:c>
      <x:c r="F8" s="73" t="str">
        <x:v>准备可暂停的诊断分段；可模拟一次暂停失败</x:v>
      </x:c>
      <x:c r="G8" s="73" t="str">
        <x:v>场景A暂停成功离开2分钟；场景B暂停失败</x:v>
      </x:c>
      <x:c r="H8" s="73" t="str">
        <x:v>1. 记录当前分段和剩余时间R
2. 场景A切出页面约2分钟后返回
3. 核对恢复到原分段且剩余时间仍约为R
4. 场景B再次切出并模拟暂停失败后返回
5. 核对错误提示、真实剩余时间和作答开放状态</x:v>
      </x:c>
      <x:c r="I8" s="73" t="str">
        <x:v>暂停成功才冻结剩余时间并从原分段恢复；失败时不能显示已冻结，页面重新读取服务端状态，未到期可继续、已到期则进入分段结束。</x:v>
      </x:c>
      <x:c r="J8" s="75" t="str">
        <x:v>未执行</x:v>
      </x:c>
      <x:c r="K8" s="76"/>
      <x:c r="L8" s="76"/>
      <x:c r="M8" s="76"/>
      <x:c r="N8" s="76"/>
      <x:c r="O8" s="76"/>
      <x:c r="P8" s="76"/>
    </x:row>
  </x:sheetData>
  <x:mergeCells>
    <x:mergeCell ref="A1:P1"/>
    <x:mergeCell ref="A2:P2"/>
  </x:mergeCells>
  <x:conditionalFormatting sqref="D4:D8">
    <x:cfRule type="containsText" dxfId="48" priority="1" operator="containsText" text="P0"/>
    <x:cfRule type="containsText" dxfId="49" priority="2" operator="containsText" text="P1"/>
  </x:conditionalFormatting>
  <x:conditionalFormatting sqref="J4:J8">
    <x:cfRule type="containsText" dxfId="50" priority="3" operator="containsText" text="通过"/>
    <x:cfRule type="containsText" dxfId="51" priority="4" operator="containsText" text="失败"/>
    <x:cfRule type="containsText" dxfId="52" priority="5" operator="containsText" text="阻塞"/>
  </x:conditionalFormatting>
  <x:conditionalFormatting sqref="K4:K8">
    <x:cfRule type="containsText" dxfId="53" priority="6" operator="containsText" text="是"/>
    <x:cfRule type="containsText" dxfId="54" priority="7" operator="containsText" text="否"/>
  </x:conditionalFormatting>
  <x:conditionalFormatting sqref="L4:L8">
    <x:cfRule type="containsText" dxfId="55" priority="8" operator="containsText" text="阻塞"/>
    <x:cfRule type="containsText" dxfId="56" priority="9" operator="containsText" text="高"/>
  </x:conditionalFormatting>
  <x:conditionalFormatting sqref="O4:O8">
    <x:cfRule type="containsText" dxfId="57" priority="10" operator="containsText" text="已完成"/>
  </x:conditionalFormatting>
  <x:conditionalFormatting sqref="P4:P8">
    <x:cfRule type="containsText" dxfId="58" priority="11" operator="containsText" text="通过"/>
    <x:cfRule type="containsText" dxfId="59" priority="12" operator="containsText" text="不通过"/>
  </x:conditionalFormatting>
  <x:dataValidations count="7">
    <x:dataValidation type="list" sqref="D4:D8">
      <x:formula1>"P0,P1,P2,P3"</x:formula1>
    </x:dataValidation>
    <x:dataValidation type="list" sqref="E4:E8">
      <x:formula1>"功能,流程,校验,权限,安全,异常"</x:formula1>
    </x:dataValidation>
    <x:dataValidation type="list" sqref="J4:J8">
      <x:formula1>"未执行,通过,失败,阻塞,不适用"</x:formula1>
    </x:dataValidation>
    <x:dataValidation type="list" sqref="K4:K8">
      <x:formula1>"是,否"</x:formula1>
    </x:dataValidation>
    <x:dataValidation type="list" sqref="L4:L8">
      <x:formula1>"阻塞,高,中,低,轻微"</x:formula1>
    </x:dataValidation>
    <x:dataValidation type="list" sqref="O4:O8">
      <x:formula1>"已完成,待讨论,暂不修复"</x:formula1>
    </x:dataValidation>
    <x:dataValidation type="list" sqref="P4:P8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364b7e7fad47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9" hidden="0" customWidth="1"/>
    <x:col min="5" max="5" width="11" hidden="0" customWidth="1"/>
    <x:col min="6" max="6" width="28" hidden="0" customWidth="1"/>
    <x:col min="7" max="7" width="28" hidden="0" customWidth="1"/>
    <x:col min="8" max="8" width="40" hidden="0" customWidth="1"/>
    <x:col min="9" max="9" width="44" hidden="0" customWidth="1"/>
    <x:col min="10" max="10" width="12" hidden="0" customWidth="1"/>
    <x:col min="11" max="11" width="11" hidden="0" customWidth="1"/>
    <x:col min="12" max="12" width="11" hidden="0" customWidth="1"/>
    <x:col min="13" max="13" width="28" hidden="0" customWidth="1"/>
    <x:col min="14" max="14" width="23" hidden="0" customWidth="1"/>
    <x:col min="15" max="15" width="12" hidden="0" customWidth="1"/>
    <x:col min="16" max="16" width="12" hidden="0" customWidth="1"/>
  </x:cols>
  <x:sheetData>
    <x:row r="1" ht="27" customHeight="1">
      <x:c r="A1" s="61" t="str">
        <x:v>4.6 在线答题人工测试用例｜交卷与结果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</x:row>
    <x:row r="2" ht="20" customHeight="1">
      <x:c r="A2" s="63" t="str">
        <x:v>来源：文档/4-需求文档/4.6 在线答题.md　｜　范围：P0页面操作、状态旅程与可见结果　｜　交卷与结果：6 条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</x:row>
    <x:row r="3" ht="28" customHeight="1">
      <x:c r="A3" s="68" t="str">
        <x:v>用例编号</x:v>
      </x:c>
      <x:c r="B3" s="68" t="str">
        <x:v>功能模块</x:v>
      </x:c>
      <x:c r="C3" s="68" t="str">
        <x:v>用例标题</x:v>
      </x:c>
      <x:c r="D3" s="68" t="str">
        <x:v>优先级</x:v>
      </x:c>
      <x:c r="E3" s="68" t="str">
        <x:v>用例类型</x:v>
      </x:c>
      <x:c r="F3" s="68" t="str">
        <x:v>前置条件</x:v>
      </x:c>
      <x:c r="G3" s="68" t="str">
        <x:v>测试数据</x:v>
      </x:c>
      <x:c r="H3" s="68" t="str">
        <x:v>操作步骤</x:v>
      </x:c>
      <x:c r="I3" s="68" t="str">
        <x:v>预期结果</x:v>
      </x:c>
      <x:c r="J3" s="68" t="str">
        <x:v>执行状态</x:v>
      </x:c>
      <x:c r="K3" s="68" t="str">
        <x:v>是否通过</x:v>
      </x:c>
      <x:c r="L3" s="68" t="str">
        <x:v>缺陷等级</x:v>
      </x:c>
      <x:c r="M3" s="68" t="str">
        <x:v>实际结果</x:v>
      </x:c>
      <x:c r="N3" s="68" t="str">
        <x:v>备注</x:v>
      </x:c>
      <x:c r="O3" s="68" t="str">
        <x:v>修复情况</x:v>
      </x:c>
      <x:c r="P3" s="68" t="str">
        <x:v>回归情况</x:v>
      </x:c>
    </x:row>
    <x:row r="4" ht="78" customHeight="1">
      <x:c r="A4" s="73" t="str">
        <x:v>ANS-SUB-001</x:v>
      </x:c>
      <x:c r="B4" s="73" t="str">
        <x:v>交卷与结果</x:v>
      </x:c>
      <x:c r="C4" s="73" t="str">
        <x:v>含未答题的提前交卷明确数量并支持取消</x:v>
      </x:c>
      <x:c r="D4" s="73" t="str">
        <x:v>P0</x:v>
      </x:c>
      <x:c r="E4" s="73" t="str">
        <x:v>流程</x:v>
      </x:c>
      <x:c r="F4" s="73" t="str">
        <x:v>进入8题普通练习并只回答5题</x:v>
      </x:c>
      <x:c r="G4" s="73" t="str">
        <x:v>未答3题，其中包含跳过和未查看</x:v>
      </x:c>
      <x:c r="H4" s="73" t="str">
        <x:v>1. 核对题号导航显示已答5、未答3
2. 点击提前交卷并读取提示
3. 点击取消并改答其中1题
4. 再次点击提前交卷并核对未答数量更新
5. 确认交卷并等待成功</x:v>
      </x:c>
      <x:c r="I4" s="73" t="str">
        <x:v>弹窗准确说明未答数量和未答处理；取消后继续编辑；再打开数量变为2；确认后只提交一次。</x:v>
      </x:c>
      <x:c r="J4" s="75" t="str">
        <x:v>未执行</x:v>
      </x:c>
      <x:c r="K4" s="76"/>
      <x:c r="L4" s="76"/>
      <x:c r="M4" s="76"/>
      <x:c r="N4" s="76"/>
      <x:c r="O4" s="76"/>
      <x:c r="P4" s="76"/>
    </x:row>
    <x:row r="5" ht="78" customHeight="1">
      <x:c r="A5" s="74" t="str">
        <x:v>ANS-SUB-002</x:v>
      </x:c>
      <x:c r="B5" s="74" t="str">
        <x:v>交卷与结果</x:v>
      </x:c>
      <x:c r="C5" s="74" t="str">
        <x:v>全部已答仍需确认且末题不自动交卷</x:v>
      </x:c>
      <x:c r="D5" s="74" t="str">
        <x:v>P0</x:v>
      </x:c>
      <x:c r="E5" s="74" t="str">
        <x:v>流程</x:v>
      </x:c>
      <x:c r="F5" s="74" t="str">
        <x:v>进入普通练习并回答全部题目</x:v>
      </x:c>
      <x:c r="G5" s="74" t="str">
        <x:v>所有题已答；最后一题已保存</x:v>
      </x:c>
      <x:c r="H5" s="74" t="str">
        <x:v>1. 回答最后一题并等待保存
2. 停留数秒确认页面没有自动跳转
3. 点击提前交卷并核对确认文案
4. 点击取消后改答一题
5. 再次确认交卷</x:v>
      </x:c>
      <x:c r="I5" s="74" t="str">
        <x:v>全部已答不会自动交卷；仍需二次确认；取消保留编辑能力和最新改答；最终确认后提交最新答案。</x:v>
      </x:c>
      <x:c r="J5" s="75" t="str">
        <x:v>未执行</x:v>
      </x:c>
      <x:c r="K5" s="76"/>
      <x:c r="L5" s="76"/>
      <x:c r="M5" s="76"/>
      <x:c r="N5" s="76"/>
      <x:c r="O5" s="76"/>
      <x:c r="P5" s="76"/>
    </x:row>
    <x:row r="6" ht="78" customHeight="1">
      <x:c r="A6" s="73" t="str">
        <x:v>ANS-SUB-003</x:v>
      </x:c>
      <x:c r="B6" s="73" t="str">
        <x:v>交卷与结果</x:v>
      </x:c>
      <x:c r="C6" s="73" t="str">
        <x:v>提交过程中锁定全部操作并防止重复触发</x:v>
      </x:c>
      <x:c r="D6" s="73" t="str">
        <x:v>P0</x:v>
      </x:c>
      <x:c r="E6" s="73" t="str">
        <x:v>校验</x:v>
      </x:c>
      <x:c r="F6" s="73" t="str">
        <x:v>进入可交卷练习；可延迟提交响应</x:v>
      </x:c>
      <x:c r="G6" s="73" t="str">
        <x:v>提交响应延迟5秒；连续点击主按钮</x:v>
      </x:c>
      <x:c r="H6" s="73" t="str">
        <x:v>1. 点击提前交卷并确认
2. 在提交中连续点击选项、翻题、题号、返回和交卷入口
3. 观察加载状态和按钮状态
4. 释放成功响应
5. 核对只出现一次成功结果</x:v>
      </x:c>
      <x:c r="I6" s="73" t="str">
        <x:v>提交中所有会改变答案或离开页面的入口不可用；重复点击不产生第二次提交；成功后直接进入已交卷状态。</x:v>
      </x:c>
      <x:c r="J6" s="75" t="str">
        <x:v>未执行</x:v>
      </x:c>
      <x:c r="K6" s="76"/>
      <x:c r="L6" s="76"/>
      <x:c r="M6" s="76"/>
      <x:c r="N6" s="76" t="str">
        <x:v>当前实现待对齐：普通练习提交中尚未完整锁定选项和全部导航。</x:v>
      </x:c>
      <x:c r="O6" s="76"/>
      <x:c r="P6" s="76"/>
    </x:row>
    <x:row r="7" ht="78" customHeight="1">
      <x:c r="A7" s="74" t="str">
        <x:v>ANS-SUB-004</x:v>
      </x:c>
      <x:c r="B7" s="74" t="str">
        <x:v>交卷与结果</x:v>
      </x:c>
      <x:c r="C7" s="74" t="str">
        <x:v>提交失败保留快照且重试只形成一个结果</x:v>
      </x:c>
      <x:c r="D7" s="74" t="str">
        <x:v>P0</x:v>
      </x:c>
      <x:c r="E7" s="74" t="str">
        <x:v>异常</x:v>
      </x:c>
      <x:c r="F7" s="74" t="str">
        <x:v>准备已完成作答的普通练习；可模拟首次提交失败或响应丢失</x:v>
      </x:c>
      <x:c r="G7" s="74" t="str">
        <x:v>场景A明确失败后重试；场景B服务端成功但响应丢失后重试</x:v>
      </x:c>
      <x:c r="H7" s="74" t="str">
        <x:v>1. 记录最终答案快照和来源页历史基线H
2. 按场景提交并观察失败或未知结果
3. 核对页面保留答案并显示重试入口
4. 使用同一场记录重试提交
5. 返回来源页刷新并核对历史与结果</x:v>
      </x:c>
      <x:c r="I7" s="74" t="str">
        <x:v>失败不清空答案、不创建新练习；重试复用同一提交；两种场景最终都只有一条结果且H+1，不重复统计。</x:v>
      </x:c>
      <x:c r="J7" s="75" t="str">
        <x:v>未执行</x:v>
      </x:c>
      <x:c r="K7" s="76"/>
      <x:c r="L7" s="76"/>
      <x:c r="M7" s="76"/>
      <x:c r="N7" s="76"/>
      <x:c r="O7" s="76"/>
      <x:c r="P7" s="76"/>
    </x:row>
    <x:row r="8" ht="78" customHeight="1">
      <x:c r="A8" s="73" t="str">
        <x:v>ANS-SUB-005</x:v>
      </x:c>
      <x:c r="B8" s="73" t="str">
        <x:v>交卷与结果</x:v>
      </x:c>
      <x:c r="C8" s="73" t="str">
        <x:v>交卷成功弹窗按来源进入解析或返回</x:v>
      </x:c>
      <x:c r="D8" s="73" t="str">
        <x:v>P0</x:v>
      </x:c>
      <x:c r="E8" s="73" t="str">
        <x:v>流程</x:v>
      </x:c>
      <x:c r="F8" s="73" t="str">
        <x:v>分别从试题库和练习册完成一场练习</x:v>
      </x:c>
      <x:c r="G8" s="73" t="str">
        <x:v>场景A试题库来源；场景B练习本A来源</x:v>
      </x:c>
      <x:c r="H8" s="73" t="str">
        <x:v>1. 按场景完成正式交卷并等待“练习已交卷”弹窗
2. 核对弹窗只有查看解析和返回来源两类操作
3. 点击查看解析并核对整场逐题内容
4. 使用解析页返回并核对回到对应来源
5. 再从历史打开该记录并重复返回检查</x:v>
      </x:c>
      <x:c r="I8" s="73" t="str">
        <x:v>不经过独立结果概览；解析展示本场全部题；试题库来源返回试题库，练习册来源返回练习册并保持当前考试。</x:v>
      </x:c>
      <x:c r="J8" s="75" t="str">
        <x:v>未执行</x:v>
      </x:c>
      <x:c r="K8" s="76"/>
      <x:c r="L8" s="76"/>
      <x:c r="M8" s="76"/>
      <x:c r="N8" s="76"/>
      <x:c r="O8" s="76"/>
      <x:c r="P8" s="76"/>
    </x:row>
    <x:row r="9" ht="78" customHeight="1">
      <x:c r="A9" s="74" t="str">
        <x:v>ANS-SUB-006</x:v>
      </x:c>
      <x:c r="B9" s="74" t="str">
        <x:v>交卷与结果</x:v>
      </x:c>
      <x:c r="C9" s="74" t="str">
        <x:v>正式交卷才更新练习统计、个人中心与错题</x:v>
      </x:c>
      <x:c r="D9" s="74" t="str">
        <x:v>P0</x:v>
      </x:c>
      <x:c r="E9" s="74" t="str">
        <x:v>流程</x:v>
      </x:c>
      <x:c r="F9" s="74" t="str">
        <x:v>练习本A可生成N题；准备K道最终错误或未答，其中U道从未进入错题本</x:v>
      </x:c>
      <x:c r="G9" s="74" t="str">
        <x:v>Q=个人中心题库答题量；H=练习本历史组数；T=累计题数；W=错题卡片数；N=本次固定题量；U=新增唯一错题数</x:v>
      </x:c>
      <x:c r="H9" s="74" t="str">
        <x:v>1. 在个人中心、练习册和错题本分别记录Q、H、T、W基线
2. 从练习本A开始N题练习，答一部分后保存返回但不交卷
3. 刷新三个展示页面并确认Q、H、T、W均不变
4. 继续同一场练习，形成K道错误或未答并正式交卷
5. 返回练习册核对H和T，再到个人中心核对Q，到错题本核对W及重复错题历史次数
6. 刷新、重新登录并切换另一考试再次核对</x:v>
      </x:c>
      <x:c r="I9" s="74" t="str">
        <x:v>进行中不改变正式统计；交卷后H+1、T+N、Q+N、W+U；本次全部N题包括未答和旧题均计入用量；重复错题不新增卡片但历史错误次数+1；另一考试保持原值，刷新和重登后持续。</x:v>
      </x:c>
      <x:c r="J9" s="75" t="str">
        <x:v>未执行</x:v>
      </x:c>
      <x:c r="K9" s="76"/>
      <x:c r="L9" s="76"/>
      <x:c r="M9" s="76"/>
      <x:c r="N9" s="76"/>
      <x:c r="O9" s="76"/>
      <x:c r="P9" s="76"/>
    </x:row>
  </x:sheetData>
  <x:mergeCells>
    <x:mergeCell ref="A1:P1"/>
    <x:mergeCell ref="A2:P2"/>
  </x:mergeCells>
  <x:conditionalFormatting sqref="D4:D9">
    <x:cfRule type="containsText" dxfId="60" priority="1" operator="containsText" text="P0"/>
    <x:cfRule type="containsText" dxfId="61" priority="2" operator="containsText" text="P1"/>
  </x:conditionalFormatting>
  <x:conditionalFormatting sqref="J4:J9">
    <x:cfRule type="containsText" dxfId="62" priority="3" operator="containsText" text="通过"/>
    <x:cfRule type="containsText" dxfId="63" priority="4" operator="containsText" text="失败"/>
    <x:cfRule type="containsText" dxfId="64" priority="5" operator="containsText" text="阻塞"/>
  </x:conditionalFormatting>
  <x:conditionalFormatting sqref="K4:K9">
    <x:cfRule type="containsText" dxfId="65" priority="6" operator="containsText" text="是"/>
    <x:cfRule type="containsText" dxfId="66" priority="7" operator="containsText" text="否"/>
  </x:conditionalFormatting>
  <x:conditionalFormatting sqref="L4:L9">
    <x:cfRule type="containsText" dxfId="67" priority="8" operator="containsText" text="阻塞"/>
    <x:cfRule type="containsText" dxfId="68" priority="9" operator="containsText" text="高"/>
  </x:conditionalFormatting>
  <x:conditionalFormatting sqref="O4:O9">
    <x:cfRule type="containsText" dxfId="69" priority="10" operator="containsText" text="已完成"/>
  </x:conditionalFormatting>
  <x:conditionalFormatting sqref="P4:P9">
    <x:cfRule type="containsText" dxfId="70" priority="11" operator="containsText" text="通过"/>
    <x:cfRule type="containsText" dxfId="71" priority="12" operator="containsText" text="不通过"/>
  </x:conditionalFormatting>
  <x:dataValidations count="7">
    <x:dataValidation type="list" sqref="D4:D9">
      <x:formula1>"P0,P1,P2,P3"</x:formula1>
    </x:dataValidation>
    <x:dataValidation type="list" sqref="E4:E9">
      <x:formula1>"功能,流程,校验,权限,安全,异常"</x:formula1>
    </x:dataValidation>
    <x:dataValidation type="list" sqref="J4:J9">
      <x:formula1>"未执行,通过,失败,阻塞,不适用"</x:formula1>
    </x:dataValidation>
    <x:dataValidation type="list" sqref="K4:K9">
      <x:formula1>"是,否"</x:formula1>
    </x:dataValidation>
    <x:dataValidation type="list" sqref="L4:L9">
      <x:formula1>"阻塞,高,中,低,轻微"</x:formula1>
    </x:dataValidation>
    <x:dataValidation type="list" sqref="O4:O9">
      <x:formula1>"已完成,待讨论,暂不修复"</x:formula1>
    </x:dataValidation>
    <x:dataValidation type="list" sqref="P4:P9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50927b2bb44d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9" hidden="0" customWidth="1"/>
    <x:col min="5" max="5" width="11" hidden="0" customWidth="1"/>
    <x:col min="6" max="6" width="28" hidden="0" customWidth="1"/>
    <x:col min="7" max="7" width="28" hidden="0" customWidth="1"/>
    <x:col min="8" max="8" width="40" hidden="0" customWidth="1"/>
    <x:col min="9" max="9" width="44" hidden="0" customWidth="1"/>
    <x:col min="10" max="10" width="12" hidden="0" customWidth="1"/>
    <x:col min="11" max="11" width="11" hidden="0" customWidth="1"/>
    <x:col min="12" max="12" width="11" hidden="0" customWidth="1"/>
    <x:col min="13" max="13" width="28" hidden="0" customWidth="1"/>
    <x:col min="14" max="14" width="23" hidden="0" customWidth="1"/>
    <x:col min="15" max="15" width="12" hidden="0" customWidth="1"/>
    <x:col min="16" max="16" width="12" hidden="0" customWidth="1"/>
  </x:cols>
  <x:sheetData>
    <x:row r="1" ht="27" customHeight="1">
      <x:c r="A1" s="61" t="str">
        <x:v>4.6 在线答题人工测试用例｜诊断衔接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</x:row>
    <x:row r="2" ht="20" customHeight="1">
      <x:c r="A2" s="63" t="str">
        <x:v>来源：文档/4-需求文档/4.6 在线答题.md　｜　范围：P0页面操作、状态旅程与可见结果　｜　诊断衔接：4 条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</x:row>
    <x:row r="3" ht="28" customHeight="1">
      <x:c r="A3" s="68" t="str">
        <x:v>用例编号</x:v>
      </x:c>
      <x:c r="B3" s="68" t="str">
        <x:v>功能模块</x:v>
      </x:c>
      <x:c r="C3" s="68" t="str">
        <x:v>用例标题</x:v>
      </x:c>
      <x:c r="D3" s="68" t="str">
        <x:v>优先级</x:v>
      </x:c>
      <x:c r="E3" s="68" t="str">
        <x:v>用例类型</x:v>
      </x:c>
      <x:c r="F3" s="68" t="str">
        <x:v>前置条件</x:v>
      </x:c>
      <x:c r="G3" s="68" t="str">
        <x:v>测试数据</x:v>
      </x:c>
      <x:c r="H3" s="68" t="str">
        <x:v>操作步骤</x:v>
      </x:c>
      <x:c r="I3" s="68" t="str">
        <x:v>预期结果</x:v>
      </x:c>
      <x:c r="J3" s="68" t="str">
        <x:v>执行状态</x:v>
      </x:c>
      <x:c r="K3" s="68" t="str">
        <x:v>是否通过</x:v>
      </x:c>
      <x:c r="L3" s="68" t="str">
        <x:v>缺陷等级</x:v>
      </x:c>
      <x:c r="M3" s="68" t="str">
        <x:v>实际结果</x:v>
      </x:c>
      <x:c r="N3" s="68" t="str">
        <x:v>备注</x:v>
      </x:c>
      <x:c r="O3" s="68" t="str">
        <x:v>修复情况</x:v>
      </x:c>
      <x:c r="P3" s="68" t="str">
        <x:v>回归情况</x:v>
      </x:c>
    </x:row>
    <x:row r="4" ht="78" customHeight="1">
      <x:c r="A4" s="73" t="str">
        <x:v>ANS-DIAG-001</x:v>
      </x:c>
      <x:c r="B4" s="73" t="str">
        <x:v>诊断衔接</x:v>
      </x:c>
      <x:c r="C4" s="73" t="str">
        <x:v>主动结束诊断分段提示未答且确认后永久锁定</x:v>
      </x:c>
      <x:c r="D4" s="73" t="str">
        <x:v>P0</x:v>
      </x:c>
      <x:c r="E4" s="73" t="str">
        <x:v>流程</x:v>
      </x:c>
      <x:c r="F4" s="73" t="str">
        <x:v>进入未到时的诊断当前分段并保留部分未答</x:v>
      </x:c>
      <x:c r="G4" s="73" t="str">
        <x:v>当前分段20题，已答15题</x:v>
      </x:c>
      <x:c r="H4" s="73" t="str">
        <x:v>1. 核对当前分段已答15、未答5
2. 点击进入下一科/下一试卷或结束操作
3. 核对弹窗说明未答数量和不能返回修改
4. 点击取消并确认仍可作答
5. 再次打开并确认结束，随后尝试返回本分段</x:v>
      </x:c>
      <x:c r="I4" s="73" t="str">
        <x:v>取消不锁定；确认后保存并永久锁定当前分段，未答保持未答；不能通过页面操作返回修改。</x:v>
      </x:c>
      <x:c r="J4" s="75" t="str">
        <x:v>未执行</x:v>
      </x:c>
      <x:c r="K4" s="76"/>
      <x:c r="L4" s="76"/>
      <x:c r="M4" s="76"/>
      <x:c r="N4" s="76"/>
      <x:c r="O4" s="76"/>
      <x:c r="P4" s="76"/>
    </x:row>
    <x:row r="5" ht="78" customHeight="1">
      <x:c r="A5" s="74" t="str">
        <x:v>ANS-DIAG-002</x:v>
      </x:c>
      <x:c r="B5" s="74" t="str">
        <x:v>诊断衔接</x:v>
      </x:c>
      <x:c r="C5" s="74" t="str">
        <x:v>ESAT与TMUA分段结束进入正确下一阶段</x:v>
      </x:c>
      <x:c r="D5" s="74" t="str">
        <x:v>P0</x:v>
      </x:c>
      <x:c r="E5" s="74" t="str">
        <x:v>流程</x:v>
      </x:c>
      <x:c r="F5" s="74" t="str">
        <x:v>分别准备ESAT第一/二/三科和TMUA Paper 1/2可结束状态</x:v>
      </x:c>
      <x:c r="G5" s="74" t="str">
        <x:v>ESAT非末科、末科；TMUA Paper 1、Paper 2</x:v>
      </x:c>
      <x:c r="H5" s="74" t="str">
        <x:v>1. 按测试数据进入各分段并完成或确认结束
2. 记录结束后显示的阶段、标题和可操作按钮
3. ESAT休息场景等待或跳过休息
4. TMUA场景核对是否出现ESAT式休息
5. 刷新页面并核对服务端阶段不变</x:v>
      </x:c>
      <x:c r="I5" s="74" t="str">
        <x:v>ESAT前两科进入休息、末科进入最终提交；TMUA Paper 1直接进入Paper 2且无ESAT休息，Paper 2进入最终提交；刷新不回退。</x:v>
      </x:c>
      <x:c r="J5" s="75" t="str">
        <x:v>未执行</x:v>
      </x:c>
      <x:c r="K5" s="76"/>
      <x:c r="L5" s="76"/>
      <x:c r="M5" s="76"/>
      <x:c r="N5" s="76"/>
      <x:c r="O5" s="76"/>
      <x:c r="P5" s="76"/>
    </x:row>
    <x:row r="6" ht="78" customHeight="1">
      <x:c r="A6" s="73" t="str">
        <x:v>ANS-DIAG-003</x:v>
      </x:c>
      <x:c r="B6" s="73" t="str">
        <x:v>诊断衔接</x:v>
      </x:c>
      <x:c r="C6" s="73" t="str">
        <x:v>已锁定诊断分段不能被刷新返回或旧窗口改写</x:v>
      </x:c>
      <x:c r="D6" s="73" t="str">
        <x:v>P0</x:v>
      </x:c>
      <x:c r="E6" s="73" t="str">
        <x:v>权限</x:v>
      </x:c>
      <x:c r="F6" s="73" t="str">
        <x:v>同一诊断在窗口A已结束当前分段；窗口B仍停留在旧分段</x:v>
      </x:c>
      <x:c r="G6" s="73" t="str">
        <x:v>窗口A进入下一阶段；窗口B改答并保存</x:v>
      </x:c>
      <x:c r="H6" s="73" t="str">
        <x:v>1. 窗口A确认结束当前分段
2. 在窗口A刷新并核对仍为下一阶段
3. 在窗口B改选答案并触发保存
4. 核对窗口B冲突提示与编辑状态
5. 再次读取诊断并核对已锁定答案未被覆盖</x:v>
      </x:c>
      <x:c r="I6" s="73" t="str">
        <x:v>旧窗口的迟到保存被拒绝；窗口B停止编辑并提示刷新；已锁定答案和真实阶段保持不变。</x:v>
      </x:c>
      <x:c r="J6" s="75" t="str">
        <x:v>未执行</x:v>
      </x:c>
      <x:c r="K6" s="76"/>
      <x:c r="L6" s="76"/>
      <x:c r="M6" s="76"/>
      <x:c r="N6" s="76"/>
      <x:c r="O6" s="76"/>
      <x:c r="P6" s="76"/>
    </x:row>
    <x:row r="7" ht="78" customHeight="1">
      <x:c r="A7" s="74" t="str">
        <x:v>ANS-DIAG-004</x:v>
      </x:c>
      <x:c r="B7" s="74" t="str">
        <x:v>诊断衔接</x:v>
      </x:c>
      <x:c r="C7" s="74" t="str">
        <x:v>诊断最终提交失败保持锁定并可重试分析</x:v>
      </x:c>
      <x:c r="D7" s="74" t="str">
        <x:v>P0</x:v>
      </x:c>
      <x:c r="E7" s="74" t="str">
        <x:v>异常</x:v>
      </x:c>
      <x:c r="F7" s="74" t="str">
        <x:v>所有诊断分段已锁定；可模拟最终提交失败后成功，以及报告生成中</x:v>
      </x:c>
      <x:c r="G7" s="74" t="str">
        <x:v>第一次提交失败；第二次成功；报告状态生成中</x:v>
      </x:c>
      <x:c r="H7" s="74" t="str">
        <x:v>1. 完成最后分段并触发最终提交
2. 模拟失败并观察页面状态和可操作入口
3. 尝试返回任一已完成分段改答
4. 点击重试提交并等待成功
5. 核对进入诊断分析或报告生成状态并从诊断中心再次查看</x:v>
      </x:c>
      <x:c r="I7" s="74" t="str">
        <x:v>失败时保持待提交且所有分段继续锁定，只提供重试；成功后整场只提交一次并进入分析/报告生成，不能被标回未交卷。</x:v>
      </x:c>
      <x:c r="J7" s="75" t="str">
        <x:v>未执行</x:v>
      </x:c>
      <x:c r="K7" s="76"/>
      <x:c r="L7" s="76"/>
      <x:c r="M7" s="76"/>
      <x:c r="N7" s="76"/>
      <x:c r="O7" s="76"/>
      <x:c r="P7" s="76"/>
    </x:row>
  </x:sheetData>
  <x:mergeCells>
    <x:mergeCell ref="A1:P1"/>
    <x:mergeCell ref="A2:P2"/>
  </x:mergeCells>
  <x:conditionalFormatting sqref="D4:D7">
    <x:cfRule type="containsText" dxfId="72" priority="1" operator="containsText" text="P0"/>
    <x:cfRule type="containsText" dxfId="73" priority="2" operator="containsText" text="P1"/>
  </x:conditionalFormatting>
  <x:conditionalFormatting sqref="J4:J7">
    <x:cfRule type="containsText" dxfId="74" priority="3" operator="containsText" text="通过"/>
    <x:cfRule type="containsText" dxfId="75" priority="4" operator="containsText" text="失败"/>
    <x:cfRule type="containsText" dxfId="76" priority="5" operator="containsText" text="阻塞"/>
  </x:conditionalFormatting>
  <x:conditionalFormatting sqref="K4:K7">
    <x:cfRule type="containsText" dxfId="77" priority="6" operator="containsText" text="是"/>
    <x:cfRule type="containsText" dxfId="78" priority="7" operator="containsText" text="否"/>
  </x:conditionalFormatting>
  <x:conditionalFormatting sqref="L4:L7">
    <x:cfRule type="containsText" dxfId="79" priority="8" operator="containsText" text="阻塞"/>
    <x:cfRule type="containsText" dxfId="80" priority="9" operator="containsText" text="高"/>
  </x:conditionalFormatting>
  <x:conditionalFormatting sqref="O4:O7">
    <x:cfRule type="containsText" dxfId="81" priority="10" operator="containsText" text="已完成"/>
  </x:conditionalFormatting>
  <x:conditionalFormatting sqref="P4:P7">
    <x:cfRule type="containsText" dxfId="82" priority="11" operator="containsText" text="通过"/>
    <x:cfRule type="containsText" dxfId="83" priority="12" operator="containsText" text="不通过"/>
  </x:conditionalFormatting>
  <x:dataValidations count="7">
    <x:dataValidation type="list" sqref="D4:D7">
      <x:formula1>"P0,P1,P2,P3"</x:formula1>
    </x:dataValidation>
    <x:dataValidation type="list" sqref="E4:E7">
      <x:formula1>"功能,流程,校验,权限,安全,异常"</x:formula1>
    </x:dataValidation>
    <x:dataValidation type="list" sqref="J4:J7">
      <x:formula1>"未执行,通过,失败,阻塞,不适用"</x:formula1>
    </x:dataValidation>
    <x:dataValidation type="list" sqref="K4:K7">
      <x:formula1>"是,否"</x:formula1>
    </x:dataValidation>
    <x:dataValidation type="list" sqref="L4:L7">
      <x:formula1>"阻塞,高,中,低,轻微"</x:formula1>
    </x:dataValidation>
    <x:dataValidation type="list" sqref="O4:O7">
      <x:formula1>"已完成,待讨论,暂不修复"</x:formula1>
    </x:dataValidation>
    <x:dataValidation type="list" sqref="P4:P7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f0ce233a6f4b04"/>
  </x:tableParts>
</x:worksheet>
</file>