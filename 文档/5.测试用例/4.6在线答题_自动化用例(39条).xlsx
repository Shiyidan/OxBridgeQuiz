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254cba1cf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说明" sheetId="1" r:id="R1e2e945fee814719"/>
    <x:sheet xmlns:r="http://schemas.openxmlformats.org/officeDocument/2006/relationships" name="会话与范围" sheetId="2" r:id="R56fbbd04086e440f"/>
    <x:sheet xmlns:r="http://schemas.openxmlformats.org/officeDocument/2006/relationships" name="页面与答案状态" sheetId="3" r:id="R2c3a782198334c7b"/>
    <x:sheet xmlns:r="http://schemas.openxmlformats.org/officeDocument/2006/relationships" name="保存与并发" sheetId="4" r:id="R4084a169eb2246e3"/>
    <x:sheet xmlns:r="http://schemas.openxmlformats.org/officeDocument/2006/relationships" name="计时与可见性" sheetId="5" r:id="Rd96bd90cebaf4878"/>
    <x:sheet xmlns:r="http://schemas.openxmlformats.org/officeDocument/2006/relationships" name="练习交卷与统计" sheetId="6" r:id="R161133c43d3844f9"/>
    <x:sheet xmlns:r="http://schemas.openxmlformats.org/officeDocument/2006/relationships" name="诊断分段与提交" sheetId="7" r:id="R1abdded9d1344db5"/>
    <x:sheet xmlns:r="http://schemas.openxmlformats.org/officeDocument/2006/relationships" name="异常与边界" sheetId="8" r:id="R7da6b1ce6a40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name val="Carlito"/>
    </x:font>
    <x:font>
      <x:b/>
      <x:sz val="18"/>
      <x:color rgb="FFFFFFFF"/>
      <x:name val="Carlito"/>
    </x:font>
    <x:font>
      <x:sz val="10"/>
      <x:color rgb="FF1F4E78"/>
      <x:name val="Carlito"/>
    </x:font>
    <x:font>
      <x:sz val="10"/>
      <x:color rgb="FF203040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b/>
      <x:sz val="11"/>
      <x:color rgb="FF17365D"/>
      <x:name val="Carlito"/>
    </x:font>
    <x:font>
      <x:sz val="11"/>
      <x:color rgb="FF203040"/>
      <x:name val="Carlito"/>
    </x:font>
    <x:font>
      <x:b/>
      <x:sz val="16"/>
      <x:color rgb="FFFFFFFF"/>
      <x:name val="Carlito"/>
    </x:font>
    <x:font>
      <x:sz val="9"/>
      <x:color rgb="FF1F4E78"/>
      <x:name val="Carlito"/>
    </x:font>
    <x:font>
      <x:b/>
      <x:sz val="9"/>
      <x:color rgb="FFFFFFFF"/>
      <x:name val="Carlito"/>
    </x:font>
    <x:font>
      <x:sz val="9"/>
      <x:color rgb="FF20304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2F6FA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D9E5F3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10">
    <x:border/>
    <x:border>
      <x:left style="thin">
        <x:color rgb="FFAFC6E9"/>
      </x:left>
      <x:right style="thin">
        <x:color rgb="FFAFC6E9"/>
      </x:right>
      <x:top style="thin">
        <x:color rgb="FFAFC6E9"/>
      </x:top>
      <x:bottom style="thin">
        <x:color rgb="FFAFC6E9"/>
      </x:bottom>
    </x:border>
    <x:border>
      <x:right style="thin">
        <x:color rgb="FFAFC6E9"/>
      </x:right>
      <x:bottom style="thin">
        <x:color rgb="FFAFC6E9"/>
      </x:bottom>
    </x:border>
    <x:border>
      <x:left style="thin">
        <x:color rgb="FFAFC6E9"/>
      </x:left>
      <x:right style="thin">
        <x:color rgb="FFAFC6E9"/>
      </x:right>
      <x:bottom style="thin">
        <x:color rgb="FFAFC6E9"/>
      </x:bottom>
    </x:border>
    <x:border>
      <x:left style="thin">
        <x:color rgb="FFAFC6E9"/>
      </x:left>
      <x:bottom style="thin">
        <x:color rgb="FFAFC6E9"/>
      </x:bottom>
    </x:border>
    <x:border>
      <x:right style="thin">
        <x:color rgb="FFAFC6E9"/>
      </x:right>
      <x:top style="thin">
        <x:color rgb="FFAFC6E9"/>
      </x:top>
      <x:bottom style="thin">
        <x:color rgb="FFAFC6E9"/>
      </x:bottom>
    </x:border>
    <x:border>
      <x:left style="thin">
        <x:color rgb="FFAFC6E9"/>
      </x:left>
      <x:top style="thin">
        <x:color rgb="FFAFC6E9"/>
      </x:top>
      <x:bottom style="thin">
        <x:color rgb="FFAFC6E9"/>
      </x:bottom>
    </x:border>
    <x:border>
      <x:right style="thin">
        <x:color rgb="FFAFC6E9"/>
      </x:right>
      <x:top style="thin">
        <x:color rgb="FFAFC6E9"/>
      </x:top>
    </x:border>
    <x:border>
      <x:left style="thin">
        <x:color rgb="FFAFC6E9"/>
      </x:left>
      <x:right style="thin">
        <x:color rgb="FFAFC6E9"/>
      </x:right>
      <x:top style="thin">
        <x:color rgb="FFAFC6E9"/>
      </x:top>
    </x:border>
    <x:border>
      <x:left style="thin">
        <x:color rgb="FFAFC6E9"/>
      </x:left>
      <x:top style="thin">
        <x:color rgb="FFAFC6E9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5" borderId="5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/>
    <x:xf numFmtId="0" fontId="5" fillId="2" borderId="1" xfId="0" applyNumberFormat="1" applyFont="1" applyFill="1" applyBorder="1"/>
    <x:xf numFmtId="0" fontId="5" fillId="2" borderId="6" xfId="0" applyNumberFormat="1" applyFont="1" applyFill="1" applyBorder="1"/>
    <x:xf numFmtId="0" fontId="6" fillId="5" borderId="5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7" fillId="3" borderId="5" xfId="0" applyNumberFormat="1" applyFont="1" applyFill="1" applyBorder="1" applyAlignment="1">
      <x:alignment horizontal="center" vertical="center"/>
    </x:xf>
    <x:xf numFmtId="0" fontId="7" fillId="3" borderId="6" xfId="0" applyNumberFormat="1" applyFont="1" applyFill="1" applyBorder="1" applyAlignment="1">
      <x:alignment horizontal="center" vertical="center"/>
    </x:xf>
    <x:xf numFmtId="0" fontId="8" fillId="3" borderId="5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 wrapText="1"/>
    </x:xf>
    <x:xf numFmtId="0" fontId="9" fillId="6" borderId="6" xfId="0" applyNumberFormat="1" applyFont="1" applyFill="1" applyBorder="1" applyAlignment="1">
      <x:alignment vertical="center" wrapText="1"/>
    </x:xf>
    <x:xf numFmtId="0" fontId="8" fillId="3" borderId="7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/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wrapText="1"/>
    </x:xf>
    <x:xf numFmtId="0" fontId="12" fillId="5" borderId="1" xfId="0" applyNumberFormat="1" applyFont="1" applyFill="1" applyBorder="1" applyAlignment="1">
      <x:alignment horizontal="center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vertical="top" wrapText="1"/>
    </x:xf>
    <x:xf numFmtId="0" fontId="13" fillId="7" borderId="1" xfId="0" applyNumberFormat="1" applyFont="1" applyFill="1" applyBorder="1" applyAlignment="1">
      <x:alignment vertical="top" wrapText="1"/>
    </x:xf>
    <x:xf numFmtId="0" fontId="13" fillId="6" borderId="1" xfId="0" applyNumberFormat="1" applyFont="1" applyFill="1" applyBorder="1" applyAlignment="1">
      <x:alignment vertical="top" wrapText="1"/>
    </x:xf>
    <x:xf numFmtId="0" fontId="13" fillId="8" borderId="1" xfId="0" applyNumberFormat="1" applyFont="1" applyFill="1" applyBorder="1" applyAlignment="1">
      <x:alignment vertical="top" wrapText="1"/>
    </x:xf>
    <x:xf numFmtId="0" fontId="13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5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dbf65c72c44d2" /><Relationship Type="http://schemas.openxmlformats.org/officeDocument/2006/relationships/theme" Target="/xl/theme/theme1.xml" Id="R5217bc73426c4aa1" /><Relationship Type="http://schemas.openxmlformats.org/officeDocument/2006/relationships/sharedStrings" Target="/xl/sharedStrings.xml" Id="R7fe5343d2233430d" /><Relationship Type="http://schemas.openxmlformats.org/officeDocument/2006/relationships/worksheet" Target="/xl/worksheets/sheet1.xml" Id="R1e2e945fee814719" /><Relationship Type="http://schemas.openxmlformats.org/officeDocument/2006/relationships/worksheet" Target="/xl/worksheets/sheet2.xml" Id="R56fbbd04086e440f" /><Relationship Type="http://schemas.openxmlformats.org/officeDocument/2006/relationships/worksheet" Target="/xl/worksheets/sheet3.xml" Id="R2c3a782198334c7b" /><Relationship Type="http://schemas.openxmlformats.org/officeDocument/2006/relationships/worksheet" Target="/xl/worksheets/sheet4.xml" Id="R4084a169eb2246e3" /><Relationship Type="http://schemas.openxmlformats.org/officeDocument/2006/relationships/worksheet" Target="/xl/worksheets/sheet5.xml" Id="Rd96bd90cebaf4878" /><Relationship Type="http://schemas.openxmlformats.org/officeDocument/2006/relationships/worksheet" Target="/xl/worksheets/sheet6.xml" Id="R161133c43d3844f9" /><Relationship Type="http://schemas.openxmlformats.org/officeDocument/2006/relationships/worksheet" Target="/xl/worksheets/sheet7.xml" Id="R1abdded9d1344db5" /><Relationship Type="http://schemas.openxmlformats.org/officeDocument/2006/relationships/worksheet" Target="/xl/worksheets/sheet8.xml" Id="R7da6b1ce6a404963" /></Relationships>
</file>

<file path=xl/tables/table1.xml><?xml version="1.0" encoding="utf-8"?>
<x:table xmlns:x="http://schemas.openxmlformats.org/spreadsheetml/2006/main" id="1" name="AutoSummaryTable" displayName="AutoSummaryTable" ref="A9:I17" headerRowCount="1" totalsRowCount="0" totalsRowShown="0">
  <x:tableColumns count="9">
    <x:tableColumn id="1" name="模块"/>
    <x:tableColumn id="2" name="用例数"/>
    <x:tableColumn id="3" name="P0"/>
    <x:tableColumn id="4" name="P1"/>
    <x:tableColumn id="5" name="API"/>
    <x:tableColumn id="6" name="UI"/>
    <x:tableColumn id="7" name="混合"/>
    <x:tableColumn id="8" name="待实现"/>
    <x:tableColumn id="9" name="已实现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AutoCaseTable20250" displayName="AutoCaseTable20250" ref="A3:R8" headerRowCount="1" totalsRowCount="0" totalsRowShown="0"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AutoCaseTable39029" displayName="AutoCaseTable39029" ref="A3:R9" headerRowCount="1" totalsRowCount="0" totalsRowShown="0"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AutoCaseTable20445" displayName="AutoCaseTable20445" ref="A3:R9" headerRowCount="1" totalsRowCount="0" totalsRowShown="0"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AutoCaseTable35745" displayName="AutoCaseTable35745" ref="A3:R9" headerRowCount="1" totalsRowCount="0" totalsRowShown="0"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AutoCaseTable32451" displayName="AutoCaseTable32451" ref="A3:R9" headerRowCount="1" totalsRowCount="0" totalsRowShown="0"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AutoCaseTable35786" displayName="AutoCaseTable35786" ref="A3:R9" headerRowCount="1" totalsRowCount="0" totalsRowShown="0"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AutoCaseTable24322" displayName="AutoCaseTable24322" ref="A3:R7" headerRowCount="1" totalsRowCount="0" totalsRowShown="0"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dbfdf2920649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001571fc574d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37edf4def44d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64476f4b6b43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a4cf93c4c3544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ab32f3f704548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fa03f9ba21641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cf32f3d420f4a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18" hidden="0" customWidth="1"/>
    <x:col min="5" max="5" width="24" hidden="0" customWidth="1"/>
    <x:col min="6" max="6" width="20" hidden="0" customWidth="1"/>
    <x:col min="7" max="7" width="18" hidden="0" customWidth="1"/>
    <x:col min="8" max="8" width="22" hidden="0" customWidth="1"/>
    <x:col min="9" max="9" width="20" hidden="0" customWidth="1"/>
  </x:cols>
  <x:sheetData>
    <x:row r="1" ht="34" customHeight="1">
      <x:c r="A1" s="32" t="str">
        <x:v>4.6 在线答题自动化测试用例</x:v>
      </x:c>
      <x:c r="B1" s="33"/>
      <x:c r="C1" s="33"/>
      <x:c r="D1" s="33"/>
      <x:c r="E1" s="33"/>
      <x:c r="F1" s="33"/>
      <x:c r="G1" s="33"/>
      <x:c r="H1" s="33"/>
      <x:c r="I1" s="34"/>
    </x:row>
    <x:row r="2" ht="25" customHeight="1">
      <x:c r="A2" s="35" t="str">
        <x:v>参数化覆盖会话范围、答案状态、保存并发、假时钟、交卷幂等、状态机与故障注入；建议路径仅为自动化规划目标。</x:v>
      </x:c>
      <x:c r="B2" s="36"/>
      <x:c r="C2" s="36"/>
      <x:c r="D2" s="36"/>
      <x:c r="E2" s="36"/>
      <x:c r="F2" s="36"/>
      <x:c r="G2" s="36"/>
      <x:c r="H2" s="36"/>
      <x:c r="I2" s="37"/>
    </x:row>
    <x:row r="3">
      <x:c r="A3" s="38"/>
      <x:c r="B3" s="21"/>
      <x:c r="C3" s="21"/>
      <x:c r="D3" s="21"/>
      <x:c r="E3" s="21"/>
      <x:c r="F3" s="21"/>
      <x:c r="G3" s="21"/>
      <x:c r="H3" s="21"/>
      <x:c r="I3" s="39"/>
    </x:row>
    <x:row r="4" ht="28" customHeight="1">
      <x:c r="A4" s="40" t="str">
        <x:v>文档版本</x:v>
      </x:c>
      <x:c r="B4" s="41" t="str">
        <x:v>当前版（2026-08-09）</x:v>
      </x:c>
      <x:c r="C4" s="41"/>
      <x:c r="D4" s="42" t="str">
        <x:v>生成日期</x:v>
      </x:c>
      <x:c r="E4" s="43" t="n">
        <x:v>46243</x:v>
      </x:c>
      <x:c r="F4" s="41"/>
      <x:c r="G4" s="42" t="str">
        <x:v>用例总数</x:v>
      </x:c>
      <x:c r="H4" s="41" t="n">
        <x:f>SUM(B10:B16)</x:f>
        <x:v>39</x:v>
      </x:c>
      <x:c r="I4" s="44"/>
    </x:row>
    <x:row r="5" ht="28" customHeight="1">
      <x:c r="A5" s="40" t="str">
        <x:v>需求来源</x:v>
      </x:c>
      <x:c r="B5" s="41" t="str">
        <x:v>文档/4-需求文档/4.6 在线答题.md</x:v>
      </x:c>
      <x:c r="C5" s="41"/>
      <x:c r="D5" s="41"/>
      <x:c r="E5" s="41"/>
      <x:c r="F5" s="41"/>
      <x:c r="G5" s="42" t="str">
        <x:v>默认状态</x:v>
      </x:c>
      <x:c r="H5" s="41" t="str">
        <x:v>待实现 / 未执行</x:v>
      </x:c>
      <x:c r="I5" s="44"/>
    </x:row>
    <x:row r="6" ht="28" customHeight="1">
      <x:c r="A6" s="40" t="str">
        <x:v>关联规则</x:v>
      </x:c>
      <x:c r="B6" s="41" t="str">
        <x:v>4.8诊断测试、4.12练习册、4.1错题本、4.3个人中心；4.6通用答题规则优先，专项状态按关联文档执行。</x:v>
      </x:c>
      <x:c r="C6" s="41"/>
      <x:c r="D6" s="41"/>
      <x:c r="E6" s="41"/>
      <x:c r="F6" s="41"/>
      <x:c r="G6" s="41"/>
      <x:c r="H6" s="41"/>
      <x:c r="I6" s="44"/>
    </x:row>
    <x:row r="7">
      <x:c r="A7" s="38"/>
      <x:c r="B7" s="21"/>
      <x:c r="C7" s="21"/>
      <x:c r="D7" s="21"/>
      <x:c r="E7" s="21"/>
      <x:c r="F7" s="21"/>
      <x:c r="G7" s="21"/>
      <x:c r="H7" s="21"/>
      <x:c r="I7" s="39"/>
    </x:row>
    <x:row r="8">
      <x:c r="A8" s="45" t="str">
        <x:v>模块覆盖统计</x:v>
      </x:c>
      <x:c r="B8" s="46"/>
      <x:c r="C8" s="46"/>
      <x:c r="D8" s="46"/>
      <x:c r="E8" s="46"/>
      <x:c r="F8" s="46"/>
      <x:c r="G8" s="46"/>
      <x:c r="H8" s="46"/>
      <x:c r="I8" s="47"/>
    </x:row>
    <x:row r="9">
      <x:c r="A9" s="48" t="str">
        <x:v>模块</x:v>
      </x:c>
      <x:c r="B9" s="20" t="str">
        <x:v>用例数</x:v>
      </x:c>
      <x:c r="C9" s="20" t="str">
        <x:v>P0</x:v>
      </x:c>
      <x:c r="D9" s="20" t="str">
        <x:v>P1</x:v>
      </x:c>
      <x:c r="E9" s="20" t="str">
        <x:v>API</x:v>
      </x:c>
      <x:c r="F9" s="20" t="str">
        <x:v>UI</x:v>
      </x:c>
      <x:c r="G9" s="20" t="str">
        <x:v>混合</x:v>
      </x:c>
      <x:c r="H9" s="20" t="str">
        <x:v>待实现</x:v>
      </x:c>
      <x:c r="I9" s="49" t="str">
        <x:v>已实现</x:v>
      </x:c>
    </x:row>
    <x:row r="10">
      <x:c r="A10" s="50" t="str">
        <x:v>会话与范围</x:v>
      </x:c>
      <x:c r="B10" s="23" t="n">
        <x:f>COUNTA('会话与范围'!$A$4:$A$8)</x:f>
        <x:v>5</x:v>
      </x:c>
      <x:c r="C10" s="23" t="n">
        <x:f>COUNTIF('会话与范围'!$D$4:$D$8,"P0")</x:f>
        <x:v>5</x:v>
      </x:c>
      <x:c r="D10" s="23" t="n">
        <x:f>COUNTIF('会话与范围'!$D$4:$D$8,"P1")</x:f>
        <x:v>0</x:v>
      </x:c>
      <x:c r="E10" s="23" t="n">
        <x:f>COUNTIF('会话与范围'!$E$4:$E$8,"API")</x:f>
        <x:v>3</x:v>
      </x:c>
      <x:c r="F10" s="23" t="n">
        <x:f>COUNTIF('会话与范围'!$E$4:$E$8,"UI")</x:f>
        <x:v>1</x:v>
      </x:c>
      <x:c r="G10" s="23" t="n">
        <x:f>COUNTIF('会话与范围'!$E$4:$E$8,"混合")</x:f>
        <x:v>1</x:v>
      </x:c>
      <x:c r="H10" s="23" t="n">
        <x:f>COUNTIF('会话与范围'!$K$4:$K$8,"待实现")</x:f>
        <x:v>5</x:v>
      </x:c>
      <x:c r="I10" s="51" t="n">
        <x:f>COUNTIF('会话与范围'!$K$4:$K$8,"已实现")</x:f>
        <x:v>0</x:v>
      </x:c>
    </x:row>
    <x:row r="11">
      <x:c r="A11" s="50" t="str">
        <x:v>页面与答案状态</x:v>
      </x:c>
      <x:c r="B11" s="23" t="n">
        <x:f>COUNTA('页面与答案状态'!$A$4:$A$9)</x:f>
        <x:v>6</x:v>
      </x:c>
      <x:c r="C11" s="23" t="n">
        <x:f>COUNTIF('页面与答案状态'!$D$4:$D$9,"P0")</x:f>
        <x:v>5</x:v>
      </x:c>
      <x:c r="D11" s="23" t="n">
        <x:f>COUNTIF('页面与答案状态'!$D$4:$D$9,"P1")</x:f>
        <x:v>1</x:v>
      </x:c>
      <x:c r="E11" s="23" t="n">
        <x:f>COUNTIF('页面与答案状态'!$E$4:$E$9,"API")</x:f>
        <x:v>2</x:v>
      </x:c>
      <x:c r="F11" s="23" t="n">
        <x:f>COUNTIF('页面与答案状态'!$E$4:$E$9,"UI")</x:f>
        <x:v>3</x:v>
      </x:c>
      <x:c r="G11" s="23" t="n">
        <x:f>COUNTIF('页面与答案状态'!$E$4:$E$9,"混合")</x:f>
        <x:v>1</x:v>
      </x:c>
      <x:c r="H11" s="23" t="n">
        <x:f>COUNTIF('页面与答案状态'!$K$4:$K$9,"待实现")</x:f>
        <x:v>6</x:v>
      </x:c>
      <x:c r="I11" s="51" t="n">
        <x:f>COUNTIF('页面与答案状态'!$K$4:$K$9,"已实现")</x:f>
        <x:v>0</x:v>
      </x:c>
    </x:row>
    <x:row r="12">
      <x:c r="A12" s="50" t="str">
        <x:v>保存与并发</x:v>
      </x:c>
      <x:c r="B12" s="23" t="n">
        <x:f>COUNTA('保存与并发'!$A$4:$A$9)</x:f>
        <x:v>6</x:v>
      </x:c>
      <x:c r="C12" s="23" t="n">
        <x:f>COUNTIF('保存与并发'!$D$4:$D$9,"P0")</x:f>
        <x:v>6</x:v>
      </x:c>
      <x:c r="D12" s="23" t="n">
        <x:f>COUNTIF('保存与并发'!$D$4:$D$9,"P1")</x:f>
        <x:v>0</x:v>
      </x:c>
      <x:c r="E12" s="23" t="n">
        <x:f>COUNTIF('保存与并发'!$E$4:$E$9,"API")</x:f>
        <x:v>3</x:v>
      </x:c>
      <x:c r="F12" s="23" t="n">
        <x:f>COUNTIF('保存与并发'!$E$4:$E$9,"UI")</x:f>
        <x:v>2</x:v>
      </x:c>
      <x:c r="G12" s="23" t="n">
        <x:f>COUNTIF('保存与并发'!$E$4:$E$9,"混合")</x:f>
        <x:v>1</x:v>
      </x:c>
      <x:c r="H12" s="23" t="n">
        <x:f>COUNTIF('保存与并发'!$K$4:$K$9,"待实现")</x:f>
        <x:v>6</x:v>
      </x:c>
      <x:c r="I12" s="51" t="n">
        <x:f>COUNTIF('保存与并发'!$K$4:$K$9,"已实现")</x:f>
        <x:v>0</x:v>
      </x:c>
    </x:row>
    <x:row r="13">
      <x:c r="A13" s="50" t="str">
        <x:v>计时与可见性</x:v>
      </x:c>
      <x:c r="B13" s="23" t="n">
        <x:f>COUNTA('计时与可见性'!$A$4:$A$9)</x:f>
        <x:v>6</x:v>
      </x:c>
      <x:c r="C13" s="23" t="n">
        <x:f>COUNTIF('计时与可见性'!$D$4:$D$9,"P0")</x:f>
        <x:v>5</x:v>
      </x:c>
      <x:c r="D13" s="23" t="n">
        <x:f>COUNTIF('计时与可见性'!$D$4:$D$9,"P1")</x:f>
        <x:v>1</x:v>
      </x:c>
      <x:c r="E13" s="23" t="n">
        <x:f>COUNTIF('计时与可见性'!$E$4:$E$9,"API")</x:f>
        <x:v>1</x:v>
      </x:c>
      <x:c r="F13" s="23" t="n">
        <x:f>COUNTIF('计时与可见性'!$E$4:$E$9,"UI")</x:f>
        <x:v>2</x:v>
      </x:c>
      <x:c r="G13" s="23" t="n">
        <x:f>COUNTIF('计时与可见性'!$E$4:$E$9,"混合")</x:f>
        <x:v>3</x:v>
      </x:c>
      <x:c r="H13" s="23" t="n">
        <x:f>COUNTIF('计时与可见性'!$K$4:$K$9,"待实现")</x:f>
        <x:v>6</x:v>
      </x:c>
      <x:c r="I13" s="51" t="n">
        <x:f>COUNTIF('计时与可见性'!$K$4:$K$9,"已实现")</x:f>
        <x:v>0</x:v>
      </x:c>
    </x:row>
    <x:row r="14">
      <x:c r="A14" s="50" t="str">
        <x:v>练习交卷与统计</x:v>
      </x:c>
      <x:c r="B14" s="23" t="n">
        <x:f>COUNTA('练习交卷与统计'!$A$4:$A$9)</x:f>
        <x:v>6</x:v>
      </x:c>
      <x:c r="C14" s="23" t="n">
        <x:f>COUNTIF('练习交卷与统计'!$D$4:$D$9,"P0")</x:f>
        <x:v>5</x:v>
      </x:c>
      <x:c r="D14" s="23" t="n">
        <x:f>COUNTIF('练习交卷与统计'!$D$4:$D$9,"P1")</x:f>
        <x:v>1</x:v>
      </x:c>
      <x:c r="E14" s="23" t="n">
        <x:f>COUNTIF('练习交卷与统计'!$E$4:$E$9,"API")</x:f>
        <x:v>4</x:v>
      </x:c>
      <x:c r="F14" s="23" t="n">
        <x:f>COUNTIF('练习交卷与统计'!$E$4:$E$9,"UI")</x:f>
        <x:v>1</x:v>
      </x:c>
      <x:c r="G14" s="23" t="n">
        <x:f>COUNTIF('练习交卷与统计'!$E$4:$E$9,"混合")</x:f>
        <x:v>1</x:v>
      </x:c>
      <x:c r="H14" s="23" t="n">
        <x:f>COUNTIF('练习交卷与统计'!$K$4:$K$9,"待实现")</x:f>
        <x:v>6</x:v>
      </x:c>
      <x:c r="I14" s="51" t="n">
        <x:f>COUNTIF('练习交卷与统计'!$K$4:$K$9,"已实现")</x:f>
        <x:v>0</x:v>
      </x:c>
    </x:row>
    <x:row r="15">
      <x:c r="A15" s="50" t="str">
        <x:v>诊断分段与提交</x:v>
      </x:c>
      <x:c r="B15" s="23" t="n">
        <x:f>COUNTA('诊断分段与提交'!$A$4:$A$9)</x:f>
        <x:v>6</x:v>
      </x:c>
      <x:c r="C15" s="23" t="n">
        <x:f>COUNTIF('诊断分段与提交'!$D$4:$D$9,"P0")</x:f>
        <x:v>6</x:v>
      </x:c>
      <x:c r="D15" s="23" t="n">
        <x:f>COUNTIF('诊断分段与提交'!$D$4:$D$9,"P1")</x:f>
        <x:v>0</x:v>
      </x:c>
      <x:c r="E15" s="23" t="n">
        <x:f>COUNTIF('诊断分段与提交'!$E$4:$E$9,"API")</x:f>
        <x:v>3</x:v>
      </x:c>
      <x:c r="F15" s="23" t="n">
        <x:f>COUNTIF('诊断分段与提交'!$E$4:$E$9,"UI")</x:f>
        <x:v>0</x:v>
      </x:c>
      <x:c r="G15" s="23" t="n">
        <x:f>COUNTIF('诊断分段与提交'!$E$4:$E$9,"混合")</x:f>
        <x:v>3</x:v>
      </x:c>
      <x:c r="H15" s="23" t="n">
        <x:f>COUNTIF('诊断分段与提交'!$K$4:$K$9,"待实现")</x:f>
        <x:v>6</x:v>
      </x:c>
      <x:c r="I15" s="51" t="n">
        <x:f>COUNTIF('诊断分段与提交'!$K$4:$K$9,"已实现")</x:f>
        <x:v>0</x:v>
      </x:c>
    </x:row>
    <x:row r="16">
      <x:c r="A16" s="50" t="str">
        <x:v>异常与边界</x:v>
      </x:c>
      <x:c r="B16" s="23" t="n">
        <x:f>COUNTA('异常与边界'!$A$4:$A$7)</x:f>
        <x:v>4</x:v>
      </x:c>
      <x:c r="C16" s="23" t="n">
        <x:f>COUNTIF('异常与边界'!$D$4:$D$7,"P0")</x:f>
        <x:v>3</x:v>
      </x:c>
      <x:c r="D16" s="23" t="n">
        <x:f>COUNTIF('异常与边界'!$D$4:$D$7,"P1")</x:f>
        <x:v>1</x:v>
      </x:c>
      <x:c r="E16" s="23" t="n">
        <x:f>COUNTIF('异常与边界'!$E$4:$E$7,"API")</x:f>
        <x:v>0</x:v>
      </x:c>
      <x:c r="F16" s="23" t="n">
        <x:f>COUNTIF('异常与边界'!$E$4:$E$7,"UI")</x:f>
        <x:v>1</x:v>
      </x:c>
      <x:c r="G16" s="23" t="n">
        <x:f>COUNTIF('异常与边界'!$E$4:$E$7,"混合")</x:f>
        <x:v>3</x:v>
      </x:c>
      <x:c r="H16" s="23" t="n">
        <x:f>COUNTIF('异常与边界'!$K$4:$K$7,"待实现")</x:f>
        <x:v>4</x:v>
      </x:c>
      <x:c r="I16" s="51" t="n">
        <x:f>COUNTIF('异常与边界'!$K$4:$K$7,"已实现")</x:f>
        <x:v>0</x:v>
      </x:c>
    </x:row>
    <x:row r="17">
      <x:c r="A17" s="52" t="str">
        <x:v>合计</x:v>
      </x:c>
      <x:c r="B17" s="25" t="n">
        <x:f>SUM(B10:B16)</x:f>
        <x:v>39</x:v>
      </x:c>
      <x:c r="C17" s="25" t="n">
        <x:f>SUM(C10:C16)</x:f>
        <x:v>35</x:v>
      </x:c>
      <x:c r="D17" s="25" t="n">
        <x:f>SUM(D10:D16)</x:f>
        <x:v>4</x:v>
      </x:c>
      <x:c r="E17" s="25" t="n">
        <x:f>SUM(E10:E16)</x:f>
        <x:v>16</x:v>
      </x:c>
      <x:c r="F17" s="25" t="n">
        <x:f>SUM(F10:F16)</x:f>
        <x:v>10</x:v>
      </x:c>
      <x:c r="G17" s="25" t="n">
        <x:f>SUM(G10:G16)</x:f>
        <x:v>13</x:v>
      </x:c>
      <x:c r="H17" s="25" t="n">
        <x:f>SUM(H10:H16)</x:f>
        <x:v>39</x:v>
      </x:c>
      <x:c r="I17" s="53" t="n">
        <x:f>SUM(I10:I16)</x:f>
        <x:v>0</x:v>
      </x:c>
    </x:row>
    <x:row r="18">
      <x:c r="A18" s="38"/>
      <x:c r="B18" s="21"/>
      <x:c r="C18" s="21"/>
      <x:c r="D18" s="21"/>
      <x:c r="E18" s="21"/>
      <x:c r="F18" s="21"/>
      <x:c r="G18" s="21"/>
      <x:c r="H18" s="21"/>
      <x:c r="I18" s="39"/>
    </x:row>
    <x:row r="19">
      <x:c r="A19" s="38"/>
      <x:c r="B19" s="21"/>
      <x:c r="C19" s="21"/>
      <x:c r="D19" s="21"/>
      <x:c r="E19" s="21"/>
      <x:c r="F19" s="21"/>
      <x:c r="G19" s="21"/>
      <x:c r="H19" s="21"/>
      <x:c r="I19" s="39"/>
    </x:row>
    <x:row r="20">
      <x:c r="A20" s="45" t="str">
        <x:v>使用说明</x:v>
      </x:c>
      <x:c r="B20" s="46"/>
      <x:c r="C20" s="46"/>
      <x:c r="D20" s="46"/>
      <x:c r="E20" s="46"/>
      <x:c r="F20" s="46"/>
      <x:c r="G20" s="46"/>
      <x:c r="H20" s="46"/>
      <x:c r="I20" s="47"/>
    </x:row>
    <x:row r="21" ht="28" customHeight="1">
      <x:c r="A21" s="54" t="str">
        <x:v>自动化层级</x:v>
      </x:c>
      <x:c r="B21" s="55" t="str">
        <x:v>API验证规则与状态，UI验证浏览器交互，混合验证端到端前后端一致。</x:v>
      </x:c>
      <x:c r="C21" s="55"/>
      <x:c r="D21" s="55"/>
      <x:c r="E21" s="55"/>
      <x:c r="F21" s="55"/>
      <x:c r="G21" s="55"/>
      <x:c r="H21" s="55"/>
      <x:c r="I21" s="56"/>
    </x:row>
    <x:row r="22" ht="28" customHeight="1">
      <x:c r="A22" s="54" t="str">
        <x:v>参数化数据</x:v>
      </x:c>
      <x:c r="B22" s="55" t="str">
        <x:v>同一业务判断的数据值保存在一行，落地脚本时使用test.each或等价机制展开。</x:v>
      </x:c>
      <x:c r="C22" s="55"/>
      <x:c r="D22" s="55"/>
      <x:c r="E22" s="55"/>
      <x:c r="F22" s="55"/>
      <x:c r="G22" s="55"/>
      <x:c r="H22" s="55"/>
      <x:c r="I22" s="56"/>
    </x:row>
    <x:row r="23" ht="28" customHeight="1">
      <x:c r="A23" s="54" t="str">
        <x:v>建议路径</x:v>
      </x:c>
      <x:c r="B23" s="55" t="str">
        <x:v>仅为规划目标，不表示仓库已存在对应测试框架或脚本。</x:v>
      </x:c>
      <x:c r="C23" s="55"/>
      <x:c r="D23" s="55"/>
      <x:c r="E23" s="55"/>
      <x:c r="F23" s="55"/>
      <x:c r="G23" s="55"/>
      <x:c r="H23" s="55"/>
      <x:c r="I23" s="56"/>
    </x:row>
    <x:row r="24" ht="28" customHeight="1">
      <x:c r="A24" s="57" t="str">
        <x:v>Mock与假时钟</x:v>
      </x:c>
      <x:c r="B24" s="58" t="str">
        <x:v>限时、暂停、响应乱序、并发、状态迁移和报告进度使用可控数据、假时钟与故障注入。</x:v>
      </x:c>
      <x:c r="C24" s="58"/>
      <x:c r="D24" s="58"/>
      <x:c r="E24" s="58"/>
      <x:c r="F24" s="58"/>
      <x:c r="G24" s="58"/>
      <x:c r="H24" s="58"/>
      <x:c r="I24" s="59"/>
    </x:row>
    <x:row r="25" ht="28" customHeight="1">
      <x:c r="A25" s="27" t="str">
        <x:v>脚本状态</x:v>
      </x:c>
      <x:c r="B25" s="31" t="str">
        <x:v>默认待实现；实现并执行后再填写执行、缺陷、修复和回归结果。</x:v>
      </x:c>
      <x:c r="C25" s="31"/>
      <x:c r="D25" s="31"/>
      <x:c r="E25" s="31"/>
      <x:c r="F25" s="31"/>
      <x:c r="G25" s="31"/>
      <x:c r="H25" s="31"/>
      <x:c r="I25" s="31"/>
    </x:row>
  </x:sheetData>
  <x:mergeCells>
    <x:mergeCell ref="A1:I1"/>
    <x:mergeCell ref="A2:I2"/>
    <x:mergeCell ref="B4:C4"/>
    <x:mergeCell ref="E4:F4"/>
    <x:mergeCell ref="H4:I4"/>
    <x:mergeCell ref="B5:F5"/>
    <x:mergeCell ref="H5:I5"/>
    <x:mergeCell ref="B6:I6"/>
    <x:mergeCell ref="A8:I8"/>
    <x:mergeCell ref="A20:I20"/>
    <x:mergeCell ref="B21:I21"/>
    <x:mergeCell ref="B22:I22"/>
    <x:mergeCell ref="B23:I23"/>
    <x:mergeCell ref="B24:I24"/>
    <x:mergeCell ref="B25:I25"/>
  </x:mergeCells>
  <x:pageMargins left="0.7" right="0.7" top="0.75" bottom="0.75" header="0.3" footer="0.3"/>
  <x:tableParts count="1">
    <x:tablePart xmlns:r="http://schemas.openxmlformats.org/officeDocument/2006/relationships" r:id="R1adbfdf29206496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1" hidden="0" customWidth="1"/>
    <x:col min="4" max="4" width="9" hidden="0" customWidth="1"/>
    <x:col min="5" max="5" width="11" hidden="0" customWidth="1"/>
    <x:col min="6" max="6" width="28" hidden="0" customWidth="1"/>
    <x:col min="7" max="7" width="32" hidden="0" customWidth="1"/>
    <x:col min="8" max="8" width="40" hidden="0" customWidth="1"/>
    <x:col min="9" max="9" width="44" hidden="0" customWidth="1"/>
    <x:col min="10" max="10" width="36" hidden="0" customWidth="1"/>
    <x:col min="11" max="11" width="12" hidden="0" customWidth="1"/>
    <x:col min="12" max="12" width="12" hidden="0" customWidth="1"/>
    <x:col min="13" max="13" width="11" hidden="0" customWidth="1"/>
    <x:col min="14" max="14" width="11" hidden="0" customWidth="1"/>
    <x:col min="15" max="15" width="28" hidden="0" customWidth="1"/>
    <x:col min="16" max="16" width="23" hidden="0" customWidth="1"/>
    <x:col min="17" max="17" width="12" hidden="0" customWidth="1"/>
    <x:col min="18" max="18" width="12" hidden="0" customWidth="1"/>
  </x:cols>
  <x:sheetData>
    <x:row r="1" ht="27" customHeight="1">
      <x:c r="A1" s="61" t="str">
        <x:v>4.6 在线答题自动化测试用例｜会话与范围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</x:row>
    <x:row r="2" ht="20" customHeight="1">
      <x:c r="A2" s="63" t="str">
        <x:v>来源：文档/4-需求文档/4.6 在线答题.md　｜　范围：参数化规则、状态机、并发、时序与故障注入　｜　会话与范围：5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自动化层级</x:v>
      </x:c>
      <x:c r="F3" s="68" t="str">
        <x:v>前置数据/Mock</x:v>
      </x:c>
      <x:c r="G3" s="68" t="str">
        <x:v>参数化测试数据</x:v>
      </x:c>
      <x:c r="H3" s="68" t="str">
        <x:v>自动化步骤</x:v>
      </x:c>
      <x:c r="I3" s="68" t="str">
        <x:v>断言</x:v>
      </x:c>
      <x:c r="J3" s="68" t="str">
        <x:v>建议脚本路径</x:v>
      </x:c>
      <x:c r="K3" s="68" t="str">
        <x:v>脚本状态</x:v>
      </x:c>
      <x:c r="L3" s="68" t="str">
        <x:v>执行状态</x:v>
      </x:c>
      <x:c r="M3" s="68" t="str">
        <x:v>是否通过</x:v>
      </x:c>
      <x:c r="N3" s="68" t="str">
        <x:v>缺陷等级</x:v>
      </x:c>
      <x:c r="O3" s="68" t="str">
        <x:v>实际结果</x:v>
      </x:c>
      <x:c r="P3" s="68" t="str">
        <x:v>备注</x:v>
      </x:c>
      <x:c r="Q3" s="68" t="str">
        <x:v>修复情况</x:v>
      </x:c>
      <x:c r="R3" s="68" t="str">
        <x:v>回归情况</x:v>
      </x:c>
    </x:row>
    <x:row r="4" ht="78" customHeight="1">
      <x:c r="A4" s="73" t="str">
        <x:v>AUT-ANS-SESSION-001</x:v>
      </x:c>
      <x:c r="B4" s="73" t="str">
        <x:v>会话与范围</x:v>
      </x:c>
      <x:c r="C4" s="73" t="str">
        <x:v>新建与恢复固定题目快照矩阵</x:v>
      </x:c>
      <x:c r="D4" s="73" t="str">
        <x:v>P0</x:v>
      </x:c>
      <x:c r="E4" s="73" t="str">
        <x:v>API</x:v>
      </x:c>
      <x:c r="F4" s="73" t="str">
        <x:v>准备试题库、练习本和诊断卷；可在开始后修改题库发布状态与排序</x:v>
      </x:c>
      <x:c r="G4" s="73" t="str">
        <x:v>来源=试题库/练习本/诊断；新建/刷新/重新进入；题目新增/归档/改序</x:v>
      </x:c>
      <x:c r="H4" s="73" t="str">
        <x:v>1. 按参数创建作答并记录题目标识顺序S
2. 保存部分答案和状态
3. 修改来源题库内容或顺序
4. 读取同一作答会话
5. 清理测试记录</x:v>
      </x:c>
      <x:c r="I4" s="73" t="str">
        <x:v>恢复的题目集合与顺序始终等于S；答案和状态保留；来源变化不替换本场题目。</x:v>
      </x:c>
      <x:c r="J4" s="73" t="str">
        <x:v>api/tests/exam/session-snapshot.spec.ts</x:v>
      </x:c>
      <x:c r="K4" s="75" t="str">
        <x:v>待实现</x:v>
      </x:c>
      <x:c r="L4" s="76" t="str">
        <x:v>未执行</x:v>
      </x:c>
      <x:c r="M4" s="75"/>
      <x:c r="N4" s="75"/>
      <x:c r="O4" s="75"/>
      <x:c r="P4" s="75"/>
      <x:c r="Q4" s="75"/>
      <x:c r="R4" s="75"/>
    </x:row>
    <x:row r="5" ht="78" customHeight="1">
      <x:c r="A5" s="74" t="str">
        <x:v>AUT-ANS-SESSION-002</x:v>
      </x:c>
      <x:c r="B5" s="74" t="str">
        <x:v>会话与范围</x:v>
      </x:c>
      <x:c r="C5" s="74" t="str">
        <x:v>题库各入口单一进行中记录与并发开始</x:v>
      </x:c>
      <x:c r="D5" s="74" t="str">
        <x:v>P0</x:v>
      </x:c>
      <x:c r="E5" s="74" t="str">
        <x:v>API</x:v>
      </x:c>
      <x:c r="F5" s="74" t="str">
        <x:v>同一学生在题库专项、自由组卷和练习本均可开始；记录初始进行中数量</x:v>
      </x:c>
      <x:c r="G5" s="74" t="str">
        <x:v>顺序开始；2/5个并发开始；首次成功响应丢失后重试；跨考试</x:v>
      </x:c>
      <x:c r="H5" s="74" t="str">
        <x:v>1. 建立账号和来源配置基线
2. 按参数并发或顺序发起开始
3. 统计进行中题库练习并读取每次返回标识
4. 对已有记录执行继续
5. 清理记录</x:v>
      </x:c>
      <x:c r="I5" s="74" t="str">
        <x:v>同一学生所有题库入口最多一场进行中；重试恢复原记录；不得出现重复题目快照或已占用但不可继续；跨考试按现行单一题库练习规则处理。</x:v>
      </x:c>
      <x:c r="J5" s="74" t="str">
        <x:v>api/tests/exam/question-bank-active-record.spec.ts</x:v>
      </x:c>
      <x:c r="K5" s="75" t="str">
        <x:v>待实现</x:v>
      </x:c>
      <x:c r="L5" s="76" t="str">
        <x:v>未执行</x:v>
      </x:c>
      <x:c r="M5" s="75"/>
      <x:c r="N5" s="75"/>
      <x:c r="O5" s="75"/>
      <x:c r="P5" s="75"/>
      <x:c r="Q5" s="75"/>
      <x:c r="R5" s="75"/>
    </x:row>
    <x:row r="6" ht="78" customHeight="1">
      <x:c r="A6" s="73" t="str">
        <x:v>AUT-ANS-SESSION-003</x:v>
      </x:c>
      <x:c r="B6" s="73" t="str">
        <x:v>会话与范围</x:v>
      </x:c>
      <x:c r="C6" s="73" t="str">
        <x:v>恢复题目定位优先级</x:v>
      </x:c>
      <x:c r="D6" s="73" t="str">
        <x:v>P0</x:v>
      </x:c>
      <x:c r="E6" s="73" t="str">
        <x:v>UI</x:v>
      </x:c>
      <x:c r="F6" s="73" t="str">
        <x:v>Mock 8题会话及本浏览器保存的当前题位置</x:v>
      </x:c>
      <x:c r="G6" s="73" t="str">
        <x:v>位置有效；位置失效+有未答；位置失效+全部已答；保存位置属于其他记录</x:v>
      </x:c>
      <x:c r="H6" s="73" t="str">
        <x:v>1. 注入参数化会话与浏览器位置
2. 打开或刷新答题页
3. 等待恢复完成
4. 读取当前题号和作答记录标识
5. 清理浏览器状态</x:v>
      </x:c>
      <x:c r="I6" s="73" t="str">
        <x:v>有效位置优先；否则第一道未答；全部已答进入最后一题；其他记录的位置不得串入。</x:v>
      </x:c>
      <x:c r="J6" s="73" t="str">
        <x:v>quiz-web/e2e/answering/resume-position.spec.ts</x:v>
      </x:c>
      <x:c r="K6" s="75" t="str">
        <x:v>待实现</x:v>
      </x:c>
      <x:c r="L6" s="76" t="str">
        <x:v>未执行</x:v>
      </x:c>
      <x:c r="M6" s="75"/>
      <x:c r="N6" s="75"/>
      <x:c r="O6" s="75"/>
      <x:c r="P6" s="75"/>
      <x:c r="Q6" s="75"/>
      <x:c r="R6" s="75"/>
    </x:row>
    <x:row r="7" ht="78" customHeight="1">
      <x:c r="A7" s="74" t="str">
        <x:v>AUT-ANS-SESSION-004</x:v>
      </x:c>
      <x:c r="B7" s="74" t="str">
        <x:v>会话与范围</x:v>
      </x:c>
      <x:c r="C7" s="74" t="str">
        <x:v>作答记录归属与越权访问矩阵</x:v>
      </x:c>
      <x:c r="D7" s="74" t="str">
        <x:v>P0</x:v>
      </x:c>
      <x:c r="E7" s="74" t="str">
        <x:v>API</x:v>
      </x:c>
      <x:c r="F7" s="74" t="str">
        <x:v>准备学生A、学生B、管理员及各自进行中和已提交记录</x:v>
      </x:c>
      <x:c r="G7" s="74" t="str">
        <x:v>本人进行中；本人已提交；他人记录；随机标识；游客；管理员直接访问学生记录</x:v>
      </x:c>
      <x:c r="H7" s="74" t="str">
        <x:v>1. 按身份和记录状态建立基线
2. 请求恢复、保存、暂停和提交行为
3. 读取目标记录答案与状态
4. 核对错误包和副作用
5. 清理会话</x:v>
      </x:c>
      <x:c r="I7" s="74" t="str">
        <x:v>只有记录所有者可操作本人进行中记录；已提交不可继续保存；他人、游客和随机标识不能读取题目或答案；失败无数据变更。</x:v>
      </x:c>
      <x:c r="J7" s="74" t="str">
        <x:v>api/tests/exam/record-ownership.spec.ts</x:v>
      </x:c>
      <x:c r="K7" s="75" t="str">
        <x:v>待实现</x:v>
      </x:c>
      <x:c r="L7" s="76" t="str">
        <x:v>未执行</x:v>
      </x:c>
      <x:c r="M7" s="75"/>
      <x:c r="N7" s="75"/>
      <x:c r="O7" s="75"/>
      <x:c r="P7" s="75"/>
      <x:c r="Q7" s="75"/>
      <x:c r="R7" s="75"/>
    </x:row>
    <x:row r="8" ht="78" customHeight="1">
      <x:c r="A8" s="73" t="str">
        <x:v>AUT-ANS-SESSION-005</x:v>
      </x:c>
      <x:c r="B8" s="73" t="str">
        <x:v>会话与范围</x:v>
      </x:c>
      <x:c r="C8" s="73" t="str">
        <x:v>恢复记录缺题或已提交的安全收敛</x:v>
      </x:c>
      <x:c r="D8" s="73" t="str">
        <x:v>P0</x:v>
      </x:c>
      <x:c r="E8" s="73" t="str">
        <x:v>混合</x:v>
      </x:c>
      <x:c r="F8" s="73" t="str">
        <x:v>准备正常记录、个别题目不可读取记录和已提交记录</x:v>
      </x:c>
      <x:c r="G8" s="73" t="str">
        <x:v>正常；缺1题；全部缺失；读取期间刚提交；已提交后直接打开答题页</x:v>
      </x:c>
      <x:c r="H8" s="73" t="str">
        <x:v>1. 建立参数化记录并读取原结果基线
2. 打开答题页并等待恢复
3. 尝试作答或正式提交
4. 重新读取记录和历史统计
5. 清理测试数据</x:v>
      </x:c>
      <x:c r="I8" s="73" t="str">
        <x:v>正常记录可恢复；缺题时阻止正式提交并提示记录异常；已提交记录不开放编辑且不得生成第二个结果或覆盖历史。</x:v>
      </x:c>
      <x:c r="J8" s="73" t="str">
        <x:v>quiz-web/e2e/answering/session-corruption-guard.spec.ts</x:v>
      </x:c>
      <x:c r="K8" s="75" t="str">
        <x:v>待实现</x:v>
      </x:c>
      <x:c r="L8" s="76" t="str">
        <x:v>未执行</x:v>
      </x:c>
      <x:c r="M8" s="75"/>
      <x:c r="N8" s="75"/>
      <x:c r="O8" s="75"/>
      <x:c r="P8" s="75"/>
      <x:c r="Q8" s="75"/>
      <x:c r="R8" s="75"/>
    </x:row>
  </x:sheetData>
  <x:mergeCells>
    <x:mergeCell ref="A1:R1"/>
    <x:mergeCell ref="A2:R2"/>
  </x:mergeCells>
  <x:conditionalFormatting sqref="D4:D8">
    <x:cfRule type="containsText" dxfId="0" priority="1" operator="containsText" text="P0"/>
    <x:cfRule type="containsText" dxfId="1" priority="2" operator="containsText" text="P1"/>
  </x:conditionalFormatting>
  <x:conditionalFormatting sqref="L4:L8">
    <x:cfRule type="containsText" dxfId="2" priority="3" operator="containsText" text="通过"/>
    <x:cfRule type="containsText" dxfId="3" priority="4" operator="containsText" text="失败"/>
    <x:cfRule type="containsText" dxfId="4" priority="5" operator="containsText" text="阻塞"/>
  </x:conditionalFormatting>
  <x:conditionalFormatting sqref="M4:M8">
    <x:cfRule type="containsText" dxfId="5" priority="6" operator="containsText" text="是"/>
    <x:cfRule type="containsText" dxfId="6" priority="7" operator="containsText" text="否"/>
  </x:conditionalFormatting>
  <x:conditionalFormatting sqref="N4:N8">
    <x:cfRule type="containsText" dxfId="7" priority="8" operator="containsText" text="阻塞"/>
    <x:cfRule type="containsText" dxfId="8" priority="9" operator="containsText" text="高"/>
  </x:conditionalFormatting>
  <x:conditionalFormatting sqref="Q4:Q8">
    <x:cfRule type="containsText" dxfId="9" priority="10" operator="containsText" text="已完成"/>
  </x:conditionalFormatting>
  <x:conditionalFormatting sqref="R4:R8">
    <x:cfRule type="containsText" dxfId="10" priority="11" operator="containsText" text="通过"/>
    <x:cfRule type="containsText" dxfId="11" priority="12" operator="containsText" text="不通过"/>
  </x:conditionalFormatting>
  <x:conditionalFormatting sqref="K4:K8">
    <x:cfRule type="containsText" dxfId="12" priority="13" operator="containsText" text="已实现"/>
    <x:cfRule type="containsText" dxfId="13" priority="14" operator="containsText" text="开发中"/>
    <x:cfRule type="containsText" dxfId="14" priority="15" operator="containsText" text="暂缓"/>
  </x:conditionalFormatting>
  <x:dataValidations count="8">
    <x:dataValidation type="list" sqref="D4:D8">
      <x:formula1>"P0,P1,P2,P3"</x:formula1>
    </x:dataValidation>
    <x:dataValidation type="list" sqref="E4:E8">
      <x:formula1>"API,UI,混合"</x:formula1>
    </x:dataValidation>
    <x:dataValidation type="list" sqref="K4:K8">
      <x:formula1>"待实现,开发中,已实现,暂缓"</x:formula1>
    </x:dataValidation>
    <x:dataValidation type="list" sqref="L4:L8">
      <x:formula1>"未执行,通过,失败,阻塞,不适用"</x:formula1>
    </x:dataValidation>
    <x:dataValidation type="list" sqref="M4:M8">
      <x:formula1>"是,否"</x:formula1>
    </x:dataValidation>
    <x:dataValidation type="list" sqref="N4:N8">
      <x:formula1>"阻塞,高,中,低,轻微"</x:formula1>
    </x:dataValidation>
    <x:dataValidation type="list" sqref="Q4:Q8">
      <x:formula1>"已完成,待讨论,暂不修复"</x:formula1>
    </x:dataValidation>
    <x:dataValidation type="list" sqref="R4:R8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001571fc574d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1" hidden="0" customWidth="1"/>
    <x:col min="4" max="4" width="9" hidden="0" customWidth="1"/>
    <x:col min="5" max="5" width="11" hidden="0" customWidth="1"/>
    <x:col min="6" max="6" width="28" hidden="0" customWidth="1"/>
    <x:col min="7" max="7" width="32" hidden="0" customWidth="1"/>
    <x:col min="8" max="8" width="40" hidden="0" customWidth="1"/>
    <x:col min="9" max="9" width="44" hidden="0" customWidth="1"/>
    <x:col min="10" max="10" width="36" hidden="0" customWidth="1"/>
    <x:col min="11" max="11" width="12" hidden="0" customWidth="1"/>
    <x:col min="12" max="12" width="12" hidden="0" customWidth="1"/>
    <x:col min="13" max="13" width="11" hidden="0" customWidth="1"/>
    <x:col min="14" max="14" width="11" hidden="0" customWidth="1"/>
    <x:col min="15" max="15" width="28" hidden="0" customWidth="1"/>
    <x:col min="16" max="16" width="23" hidden="0" customWidth="1"/>
    <x:col min="17" max="17" width="12" hidden="0" customWidth="1"/>
    <x:col min="18" max="18" width="12" hidden="0" customWidth="1"/>
  </x:cols>
  <x:sheetData>
    <x:row r="1" ht="27" customHeight="1">
      <x:c r="A1" s="61" t="str">
        <x:v>4.6 在线答题自动化测试用例｜页面与答案状态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</x:row>
    <x:row r="2" ht="20" customHeight="1">
      <x:c r="A2" s="63" t="str">
        <x:v>来源：文档/4-需求文档/4.6 在线答题.md　｜　范围：参数化规则、状态机、并发、时序与故障注入　｜　页面与答案状态：6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自动化层级</x:v>
      </x:c>
      <x:c r="F3" s="68" t="str">
        <x:v>前置数据/Mock</x:v>
      </x:c>
      <x:c r="G3" s="68" t="str">
        <x:v>参数化测试数据</x:v>
      </x:c>
      <x:c r="H3" s="68" t="str">
        <x:v>自动化步骤</x:v>
      </x:c>
      <x:c r="I3" s="68" t="str">
        <x:v>断言</x:v>
      </x:c>
      <x:c r="J3" s="68" t="str">
        <x:v>建议脚本路径</x:v>
      </x:c>
      <x:c r="K3" s="68" t="str">
        <x:v>脚本状态</x:v>
      </x:c>
      <x:c r="L3" s="68" t="str">
        <x:v>执行状态</x:v>
      </x:c>
      <x:c r="M3" s="68" t="str">
        <x:v>是否通过</x:v>
      </x:c>
      <x:c r="N3" s="68" t="str">
        <x:v>缺陷等级</x:v>
      </x:c>
      <x:c r="O3" s="68" t="str">
        <x:v>实际结果</x:v>
      </x:c>
      <x:c r="P3" s="68" t="str">
        <x:v>备注</x:v>
      </x:c>
      <x:c r="Q3" s="68" t="str">
        <x:v>修复情况</x:v>
      </x:c>
      <x:c r="R3" s="68" t="str">
        <x:v>回归情况</x:v>
      </x:c>
    </x:row>
    <x:row r="4" ht="78" customHeight="1">
      <x:c r="A4" s="73" t="str">
        <x:v>AUT-ANS-STATE-001</x:v>
      </x:c>
      <x:c r="B4" s="73" t="str">
        <x:v>页面与答案状态</x:v>
      </x:c>
      <x:c r="C4" s="73" t="str">
        <x:v>已答跳过未查看状态转换矩阵</x:v>
      </x:c>
      <x:c r="D4" s="73" t="str">
        <x:v>P0</x:v>
      </x:c>
      <x:c r="E4" s="73" t="str">
        <x:v>混合</x:v>
      </x:c>
      <x:c r="F4" s="73" t="str">
        <x:v>准备5题空白练习并可读取保存后的题目状态</x:v>
      </x:c>
      <x:c r="G4" s="73" t="str">
        <x:v>未进入；进入未选后离开；选A；A改C；清空选择；刷新恢复</x:v>
      </x:c>
      <x:c r="H4" s="73" t="str">
        <x:v>1. 初始化空白作答并记录状态基线
2. 按参数执行进入、选择和离开
3. 读取UI题号样式与汇总数量
4. 读取服务端保存状态并刷新页面
5. 清理记录</x:v>
      </x:c>
      <x:c r="I4" s="73" t="str">
        <x:v>未进入为未查看；查看未选后为跳过；有选择为已答；改答仍为已答且只保留最后选项；UI与服务端一致。</x:v>
      </x:c>
      <x:c r="J4" s="73" t="str">
        <x:v>quiz-web/e2e/answering/answer-state-matrix.spec.ts</x:v>
      </x:c>
      <x:c r="K4" s="75" t="str">
        <x:v>待实现</x:v>
      </x:c>
      <x:c r="L4" s="76" t="str">
        <x:v>未执行</x:v>
      </x:c>
      <x:c r="M4" s="75"/>
      <x:c r="N4" s="75"/>
      <x:c r="O4" s="75"/>
      <x:c r="P4" s="75"/>
      <x:c r="Q4" s="75"/>
      <x:c r="R4" s="75"/>
    </x:row>
    <x:row r="5" ht="78" customHeight="1">
      <x:c r="A5" s="74" t="str">
        <x:v>AUT-ANS-STATE-002</x:v>
      </x:c>
      <x:c r="B5" s="74" t="str">
        <x:v>页面与答案状态</x:v>
      </x:c>
      <x:c r="C5" s="74" t="str">
        <x:v>单选替换与非法答案边界</x:v>
      </x:c>
      <x:c r="D5" s="74" t="str">
        <x:v>P0</x:v>
      </x:c>
      <x:c r="E5" s="74" t="str">
        <x:v>API</x:v>
      </x:c>
      <x:c r="F5" s="74" t="str">
        <x:v>准备选项A-D的正式题目和进行中记录</x:v>
      </x:c>
      <x:c r="G5" s="74" t="str">
        <x:v>A/B/C/D；A→C；空值；多值数组；不存在选项E；其他题选项；重复保存</x:v>
      </x:c>
      <x:c r="H5" s="74" t="str">
        <x:v>1. 建立题目和空白答案记录
2. 按参数保存选择
3. 读取本题与其他题答案
4. 对合法选择执行正式提交并判分
5. 清理记录</x:v>
      </x:c>
      <x:c r="I5" s="74" t="str">
        <x:v>每题最多一个合法选项；改答覆盖旧值；非法或跨题答案被拒绝且不污染其他题；重复合法保存结果一致。</x:v>
      </x:c>
      <x:c r="J5" s="74" t="str">
        <x:v>api/tests/exam/single-choice-validation.spec.ts</x:v>
      </x:c>
      <x:c r="K5" s="75" t="str">
        <x:v>待实现</x:v>
      </x:c>
      <x:c r="L5" s="76" t="str">
        <x:v>未执行</x:v>
      </x:c>
      <x:c r="M5" s="75"/>
      <x:c r="N5" s="75"/>
      <x:c r="O5" s="75"/>
      <x:c r="P5" s="75"/>
      <x:c r="Q5" s="75"/>
      <x:c r="R5" s="75"/>
    </x:row>
    <x:row r="6" ht="78" customHeight="1">
      <x:c r="A6" s="73" t="str">
        <x:v>AUT-ANS-STATE-003</x:v>
      </x:c>
      <x:c r="B6" s="73" t="str">
        <x:v>页面与答案状态</x:v>
      </x:c>
      <x:c r="C6" s="73" t="str">
        <x:v>当前题号与已答进度分离计算</x:v>
      </x:c>
      <x:c r="D6" s="73" t="str">
        <x:v>P0</x:v>
      </x:c>
      <x:c r="E6" s="73" t="str">
        <x:v>UI</x:v>
      </x:c>
      <x:c r="F6" s="73" t="str">
        <x:v>Mock 10题练习和诊断分段</x:v>
      </x:c>
      <x:c r="G6" s="73" t="str">
        <x:v>浏览1/5/10题未答；已答0/1/3/10题；改答；跳过</x:v>
      </x:c>
      <x:c r="H6" s="73" t="str">
        <x:v>1. 注入参数化浏览位置和答案集合
2. 打开答题页并读取当前题号与进度
3. 只切题不作答后再次读取
4. 作答或改答后读取进度
5. 恢复Mock</x:v>
      </x:c>
      <x:c r="I6" s="73" t="str">
        <x:v>当前题号跟随浏览位置；进度仅等于已答数/总数；改答不重复增加；练习与诊断口径一致。</x:v>
      </x:c>
      <x:c r="J6" s="73" t="str">
        <x:v>quiz-web/e2e/answering/answered-progress.spec.ts</x:v>
      </x:c>
      <x:c r="K6" s="75" t="str">
        <x:v>待实现</x:v>
      </x:c>
      <x:c r="L6" s="76" t="str">
        <x:v>未执行</x:v>
      </x:c>
      <x:c r="M6" s="75"/>
      <x:c r="N6" s="75"/>
      <x:c r="O6" s="75"/>
      <x:c r="P6" s="75" t="str">
        <x:v>当前实现待对齐：普通练习进度按浏览题号推进。</x:v>
      </x:c>
      <x:c r="Q6" s="75"/>
      <x:c r="R6" s="75"/>
    </x:row>
    <x:row r="7" ht="78" customHeight="1">
      <x:c r="A7" s="74" t="str">
        <x:v>AUT-ANS-STATE-004</x:v>
      </x:c>
      <x:c r="B7" s="74" t="str">
        <x:v>页面与答案状态</x:v>
      </x:c>
      <x:c r="C7" s="74" t="str">
        <x:v>交卷前答案与解析不可见</x:v>
      </x:c>
      <x:c r="D7" s="74" t="str">
        <x:v>P0</x:v>
      </x:c>
      <x:c r="E7" s="74" t="str">
        <x:v>UI</x:v>
      </x:c>
      <x:c r="F7" s="74" t="str">
        <x:v>准备正确答案已知的练习和诊断题，含正确与错误选择</x:v>
      </x:c>
      <x:c r="G7" s="74" t="str">
        <x:v>未选；选对；选错；改答；保存后刷新；诊断分段未锁定</x:v>
      </x:c>
      <x:c r="H7" s="74" t="str">
        <x:v>1. 按参数进入并选择答案
2. 检查题卡文本、样式和可访问属性
3. 切题、刷新并再次检查
4. 正式交卷或锁定后打开解析
5. 对比前后页面内容</x:v>
      </x:c>
      <x:c r="I7" s="74" t="str">
        <x:v>交卷/锁定前不出现正确答案、正误或解析；提交后解析按最终选择展示，不能提前泄露。</x:v>
      </x:c>
      <x:c r="J7" s="74" t="str">
        <x:v>quiz-web/e2e/answering/no-answer-leak.spec.ts</x:v>
      </x:c>
      <x:c r="K7" s="75" t="str">
        <x:v>待实现</x:v>
      </x:c>
      <x:c r="L7" s="76" t="str">
        <x:v>未执行</x:v>
      </x:c>
      <x:c r="M7" s="75"/>
      <x:c r="N7" s="75"/>
      <x:c r="O7" s="75"/>
      <x:c r="P7" s="75"/>
      <x:c r="Q7" s="75"/>
      <x:c r="R7" s="75"/>
    </x:row>
    <x:row r="8" ht="78" customHeight="1">
      <x:c r="A8" s="73" t="str">
        <x:v>AUT-ANS-STATE-005</x:v>
      </x:c>
      <x:c r="B8" s="73" t="str">
        <x:v>页面与答案状态</x:v>
      </x:c>
      <x:c r="C8" s="73" t="str">
        <x:v>诊断题目范围只允许当前分段</x:v>
      </x:c>
      <x:c r="D8" s="73" t="str">
        <x:v>P0</x:v>
      </x:c>
      <x:c r="E8" s="73" t="str">
        <x:v>API</x:v>
      </x:c>
      <x:c r="F8" s="73" t="str">
        <x:v>准备三段诊断结构及当前分段索引，所有题均有答案记录</x:v>
      </x:c>
      <x:c r="G8" s="73" t="str">
        <x:v>当前分段题；上一已锁定题；下一未开始题；混合批量；分段切换并发保存</x:v>
      </x:c>
      <x:c r="H8" s="73" t="str">
        <x:v>1. 建立诊断结构和阶段基线
2. 按参数读取或保存题目
3. 完成当前分段并重放旧请求
4. 读取全部答案与阶段
5. 清理记录</x:v>
      </x:c>
      <x:c r="I8" s="73" t="str">
        <x:v>只接受当前作答分段题目；过去和未来题目不可写入；分段切换后的迟到请求被拒绝且不覆盖锁定答案。</x:v>
      </x:c>
      <x:c r="J8" s="73" t="str">
        <x:v>api/tests/exam/module-question-scope.spec.ts</x:v>
      </x:c>
      <x:c r="K8" s="75" t="str">
        <x:v>待实现</x:v>
      </x:c>
      <x:c r="L8" s="76" t="str">
        <x:v>未执行</x:v>
      </x:c>
      <x:c r="M8" s="75"/>
      <x:c r="N8" s="75"/>
      <x:c r="O8" s="75"/>
      <x:c r="P8" s="75"/>
      <x:c r="Q8" s="75"/>
      <x:c r="R8" s="75"/>
    </x:row>
    <x:row r="9" ht="78" customHeight="1">
      <x:c r="A9" s="74" t="str">
        <x:v>AUT-ANS-STATE-006</x:v>
      </x:c>
      <x:c r="B9" s="74" t="str">
        <x:v>页面与答案状态</x:v>
      </x:c>
      <x:c r="C9" s="74" t="str">
        <x:v>富文本公式图片与选项布局渲染矩阵</x:v>
      </x:c>
      <x:c r="D9" s="74" t="str">
        <x:v>P1</x:v>
      </x:c>
      <x:c r="E9" s="74" t="str">
        <x:v>UI</x:v>
      </x:c>
      <x:c r="F9" s="74" t="str">
        <x:v>Mock 文字、行内/块级公式、SVG、普通图片、缺失图片、长短选项组合</x:v>
      </x:c>
      <x:c r="G9" s="74" t="str">
        <x:v>宽屏/窄屏；2/4个短选项；长文本；复杂公式；SVG；图片404；混合内容顺序</x:v>
      </x:c>
      <x:c r="H9" s="74" t="str">
        <x:v>1. 按参数加载题目
2. 截取并读取内容块顺序与可见文本
3. 检查选项列数、溢出和点击区域
4. 切题后返回并再次检查
5. 清理Mock</x:v>
      </x:c>
      <x:c r="I9" s="74" t="str">
        <x:v>内容顺序稳定；正常资源可读；长内容转单列且不截断；单资源失败不导致整场白屏并显示对应失败信息。</x:v>
      </x:c>
      <x:c r="J9" s="74" t="str">
        <x:v>quiz-web/e2e/answering/rich-question-render.spec.ts</x:v>
      </x:c>
      <x:c r="K9" s="75" t="str">
        <x:v>待实现</x:v>
      </x:c>
      <x:c r="L9" s="76" t="str">
        <x:v>未执行</x:v>
      </x:c>
      <x:c r="M9" s="75"/>
      <x:c r="N9" s="75"/>
      <x:c r="O9" s="75"/>
      <x:c r="P9" s="75"/>
      <x:c r="Q9" s="75"/>
      <x:c r="R9" s="75"/>
    </x:row>
  </x:sheetData>
  <x:mergeCells>
    <x:mergeCell ref="A1:R1"/>
    <x:mergeCell ref="A2:R2"/>
  </x:mergeCells>
  <x:conditionalFormatting sqref="D4:D9">
    <x:cfRule type="containsText" dxfId="15" priority="1" operator="containsText" text="P0"/>
    <x:cfRule type="containsText" dxfId="16" priority="2" operator="containsText" text="P1"/>
  </x:conditionalFormatting>
  <x:conditionalFormatting sqref="L4:L9">
    <x:cfRule type="containsText" dxfId="17" priority="3" operator="containsText" text="通过"/>
    <x:cfRule type="containsText" dxfId="18" priority="4" operator="containsText" text="失败"/>
    <x:cfRule type="containsText" dxfId="19" priority="5" operator="containsText" text="阻塞"/>
  </x:conditionalFormatting>
  <x:conditionalFormatting sqref="M4:M9">
    <x:cfRule type="containsText" dxfId="20" priority="6" operator="containsText" text="是"/>
    <x:cfRule type="containsText" dxfId="21" priority="7" operator="containsText" text="否"/>
  </x:conditionalFormatting>
  <x:conditionalFormatting sqref="N4:N9">
    <x:cfRule type="containsText" dxfId="22" priority="8" operator="containsText" text="阻塞"/>
    <x:cfRule type="containsText" dxfId="23" priority="9" operator="containsText" text="高"/>
  </x:conditionalFormatting>
  <x:conditionalFormatting sqref="Q4:Q9">
    <x:cfRule type="containsText" dxfId="24" priority="10" operator="containsText" text="已完成"/>
  </x:conditionalFormatting>
  <x:conditionalFormatting sqref="R4:R9">
    <x:cfRule type="containsText" dxfId="25" priority="11" operator="containsText" text="通过"/>
    <x:cfRule type="containsText" dxfId="26" priority="12" operator="containsText" text="不通过"/>
  </x:conditionalFormatting>
  <x:conditionalFormatting sqref="K4:K9">
    <x:cfRule type="containsText" dxfId="27" priority="13" operator="containsText" text="已实现"/>
    <x:cfRule type="containsText" dxfId="28" priority="14" operator="containsText" text="开发中"/>
    <x:cfRule type="containsText" dxfId="29" priority="15" operator="containsText" text="暂缓"/>
  </x:conditionalFormatting>
  <x:dataValidations count="8">
    <x:dataValidation type="list" sqref="D4:D9">
      <x:formula1>"P0,P1,P2,P3"</x:formula1>
    </x:dataValidation>
    <x:dataValidation type="list" sqref="E4:E9">
      <x:formula1>"API,UI,混合"</x:formula1>
    </x:dataValidation>
    <x:dataValidation type="list" sqref="K4:K9">
      <x:formula1>"待实现,开发中,已实现,暂缓"</x:formula1>
    </x:dataValidation>
    <x:dataValidation type="list" sqref="L4:L9">
      <x:formula1>"未执行,通过,失败,阻塞,不适用"</x:formula1>
    </x:dataValidation>
    <x:dataValidation type="list" sqref="M4:M9">
      <x:formula1>"是,否"</x:formula1>
    </x:dataValidation>
    <x:dataValidation type="list" sqref="N4:N9">
      <x:formula1>"阻塞,高,中,低,轻微"</x:formula1>
    </x:dataValidation>
    <x:dataValidation type="list" sqref="Q4:Q9">
      <x:formula1>"已完成,待讨论,暂不修复"</x:formula1>
    </x:dataValidation>
    <x:dataValidation type="list" sqref="R4:R9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37edf4def44d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1" hidden="0" customWidth="1"/>
    <x:col min="4" max="4" width="9" hidden="0" customWidth="1"/>
    <x:col min="5" max="5" width="11" hidden="0" customWidth="1"/>
    <x:col min="6" max="6" width="28" hidden="0" customWidth="1"/>
    <x:col min="7" max="7" width="32" hidden="0" customWidth="1"/>
    <x:col min="8" max="8" width="40" hidden="0" customWidth="1"/>
    <x:col min="9" max="9" width="44" hidden="0" customWidth="1"/>
    <x:col min="10" max="10" width="36" hidden="0" customWidth="1"/>
    <x:col min="11" max="11" width="12" hidden="0" customWidth="1"/>
    <x:col min="12" max="12" width="12" hidden="0" customWidth="1"/>
    <x:col min="13" max="13" width="11" hidden="0" customWidth="1"/>
    <x:col min="14" max="14" width="11" hidden="0" customWidth="1"/>
    <x:col min="15" max="15" width="28" hidden="0" customWidth="1"/>
    <x:col min="16" max="16" width="23" hidden="0" customWidth="1"/>
    <x:col min="17" max="17" width="12" hidden="0" customWidth="1"/>
    <x:col min="18" max="18" width="12" hidden="0" customWidth="1"/>
  </x:cols>
  <x:sheetData>
    <x:row r="1" ht="27" customHeight="1">
      <x:c r="A1" s="61" t="str">
        <x:v>4.6 在线答题自动化测试用例｜保存与并发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</x:row>
    <x:row r="2" ht="20" customHeight="1">
      <x:c r="A2" s="63" t="str">
        <x:v>来源：文档/4-需求文档/4.6 在线答题.md　｜　范围：参数化规则、状态机、并发、时序与故障注入　｜　保存与并发：6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自动化层级</x:v>
      </x:c>
      <x:c r="F3" s="68" t="str">
        <x:v>前置数据/Mock</x:v>
      </x:c>
      <x:c r="G3" s="68" t="str">
        <x:v>参数化测试数据</x:v>
      </x:c>
      <x:c r="H3" s="68" t="str">
        <x:v>自动化步骤</x:v>
      </x:c>
      <x:c r="I3" s="68" t="str">
        <x:v>断言</x:v>
      </x:c>
      <x:c r="J3" s="68" t="str">
        <x:v>建议脚本路径</x:v>
      </x:c>
      <x:c r="K3" s="68" t="str">
        <x:v>脚本状态</x:v>
      </x:c>
      <x:c r="L3" s="68" t="str">
        <x:v>执行状态</x:v>
      </x:c>
      <x:c r="M3" s="68" t="str">
        <x:v>是否通过</x:v>
      </x:c>
      <x:c r="N3" s="68" t="str">
        <x:v>缺陷等级</x:v>
      </x:c>
      <x:c r="O3" s="68" t="str">
        <x:v>实际结果</x:v>
      </x:c>
      <x:c r="P3" s="68" t="str">
        <x:v>备注</x:v>
      </x:c>
      <x:c r="Q3" s="68" t="str">
        <x:v>修复情况</x:v>
      </x:c>
      <x:c r="R3" s="68" t="str">
        <x:v>回归情况</x:v>
      </x:c>
    </x:row>
    <x:row r="4" ht="78" customHeight="1">
      <x:c r="A4" s="73" t="str">
        <x:v>AUT-ANS-SAVE-001</x:v>
      </x:c>
      <x:c r="B4" s="73" t="str">
        <x:v>保存与并发</x:v>
      </x:c>
      <x:c r="C4" s="73" t="str">
        <x:v>选答防抖与最新值保存</x:v>
      </x:c>
      <x:c r="D4" s="73" t="str">
        <x:v>P0</x:v>
      </x:c>
      <x:c r="E4" s="73" t="str">
        <x:v>混合</x:v>
      </x:c>
      <x:c r="F4" s="73" t="str">
        <x:v>拦截保存请求并可控制响应顺序</x:v>
      </x:c>
      <x:c r="G4" s="73" t="str">
        <x:v>单次选择；A→B→C快速改答；间隔超过防抖；响应乱序；切题触发立即保存</x:v>
      </x:c>
      <x:c r="H4" s="73" t="str">
        <x:v>1. 建立空白题并启动请求监听
2. 按参数执行选择和切题
3. 释放保存响应并记录请求序列
4. 刷新会话读取最终答案
5. 清理拦截</x:v>
      </x:c>
      <x:c r="I4" s="73" t="str">
        <x:v>快速改答合并为必要请求且最终为C；切题前当前最新值被保存；旧响应不得使UI或服务端回退。</x:v>
      </x:c>
      <x:c r="J4" s="73" t="str">
        <x:v>quiz-web/e2e/answering/save-debounce-latest.spec.ts</x:v>
      </x:c>
      <x:c r="K4" s="75" t="str">
        <x:v>待实现</x:v>
      </x:c>
      <x:c r="L4" s="76" t="str">
        <x:v>未执行</x:v>
      </x:c>
      <x:c r="M4" s="75"/>
      <x:c r="N4" s="75"/>
      <x:c r="O4" s="75"/>
      <x:c r="P4" s="75"/>
      <x:c r="Q4" s="75"/>
      <x:c r="R4" s="75"/>
    </x:row>
    <x:row r="5" ht="78" customHeight="1">
      <x:c r="A5" s="74" t="str">
        <x:v>AUT-ANS-SAVE-002</x:v>
      </x:c>
      <x:c r="B5" s="74" t="str">
        <x:v>保存与并发</x:v>
      </x:c>
      <x:c r="C5" s="74" t="str">
        <x:v>增量保存不覆盖其他题答案</x:v>
      </x:c>
      <x:c r="D5" s="74" t="str">
        <x:v>P0</x:v>
      </x:c>
      <x:c r="E5" s="74" t="str">
        <x:v>API</x:v>
      </x:c>
      <x:c r="F5" s="74" t="str">
        <x:v>准备多题已有不同答案、状态和累计时间</x:v>
      </x:c>
      <x:c r="G5" s="74" t="str">
        <x:v>保存1题；保存不相邻3题；重复题标识；混入非本场题；空响应</x:v>
      </x:c>
      <x:c r="H5" s="74" t="str">
        <x:v>1. 读取全部题答案与时间基线
2. 按参数保存发生变化的题
3. 重新读取全部题
4. 对失败参数检查副作用
5. 清理记录</x:v>
      </x:c>
      <x:c r="I5" s="74" t="str">
        <x:v>只更新请求范围内合法题；未提交题保持基线；非法混入整体被拒绝或保持原子性；空变更不产生伪保存。</x:v>
      </x:c>
      <x:c r="J5" s="74" t="str">
        <x:v>api/tests/exam/progress-partial-update.spec.ts</x:v>
      </x:c>
      <x:c r="K5" s="75" t="str">
        <x:v>待实现</x:v>
      </x:c>
      <x:c r="L5" s="76" t="str">
        <x:v>未执行</x:v>
      </x:c>
      <x:c r="M5" s="75"/>
      <x:c r="N5" s="75"/>
      <x:c r="O5" s="75"/>
      <x:c r="P5" s="75"/>
      <x:c r="Q5" s="75"/>
      <x:c r="R5" s="75"/>
    </x:row>
    <x:row r="6" ht="78" customHeight="1">
      <x:c r="A6" s="73" t="str">
        <x:v>AUT-ANS-SAVE-003</x:v>
      </x:c>
      <x:c r="B6" s="73" t="str">
        <x:v>保存与并发</x:v>
      </x:c>
      <x:c r="C6" s="73" t="str">
        <x:v>练习与诊断定时保存时钟矩阵</x:v>
      </x:c>
      <x:c r="D6" s="73" t="str">
        <x:v>P0</x:v>
      </x:c>
      <x:c r="E6" s="73" t="str">
        <x:v>UI</x:v>
      </x:c>
      <x:c r="F6" s="73" t="str">
        <x:v>使用假时钟和保存请求Spy；普通练习与诊断各一场</x:v>
      </x:c>
      <x:c r="G6" s="73" t="str">
        <x:v>练习59/60/120秒；诊断29/30/60秒；无变化；答案变化；新增用时</x:v>
      </x:c>
      <x:c r="H6" s="73" t="str">
        <x:v>1. 初始化场景并清空请求记录
2. 推进假时钟到各边界
3. 注入答案变化或仅新增用时
4. 统计保存请求及请求范围
5. 恢复时钟</x:v>
      </x:c>
      <x:c r="I6" s="73" t="str">
        <x:v>普通练习每60秒检查待保存变化，诊断至少每30秒保存当前分段快照；无变化不制造无意义覆盖；边界不漏存。</x:v>
      </x:c>
      <x:c r="J6" s="73" t="str">
        <x:v>quiz-web/e2e/answering/periodic-save-clock.spec.ts</x:v>
      </x:c>
      <x:c r="K6" s="75" t="str">
        <x:v>待实现</x:v>
      </x:c>
      <x:c r="L6" s="76" t="str">
        <x:v>未执行</x:v>
      </x:c>
      <x:c r="M6" s="75"/>
      <x:c r="N6" s="75"/>
      <x:c r="O6" s="75"/>
      <x:c r="P6" s="75"/>
      <x:c r="Q6" s="75"/>
      <x:c r="R6" s="75"/>
    </x:row>
    <x:row r="7" ht="78" customHeight="1">
      <x:c r="A7" s="74" t="str">
        <x:v>AUT-ANS-SAVE-004</x:v>
      </x:c>
      <x:c r="B7" s="74" t="str">
        <x:v>保存与并发</x:v>
      </x:c>
      <x:c r="C7" s="74" t="str">
        <x:v>累计单题耗时幂等与乱序保护</x:v>
      </x:c>
      <x:c r="D7" s="74" t="str">
        <x:v>P0</x:v>
      </x:c>
      <x:c r="E7" s="74" t="str">
        <x:v>API</x:v>
      </x:c>
      <x:c r="F7" s="74" t="str">
        <x:v>准备同一题已有累计10秒并可并发发送累计值</x:v>
      </x:c>
      <x:c r="G7" s="74" t="str">
        <x:v>10重复；12；15后12乱序；并发15/20；负数；超大值；切题多次累加</x:v>
      </x:c>
      <x:c r="H7" s="74" t="str">
        <x:v>1. 读取单题累计时间基线
2. 按参数顺序或并发保存累计值
3. 读取最终时间和答案状态
4. 重放全部请求并再次读取
5. 清理记录</x:v>
      </x:c>
      <x:c r="I7" s="74" t="str">
        <x:v>合法累计时间只前进不回退；重复值不重复增加；乱序最终取最新有效累计；非法值被拒绝或规范化且不污染记录。</x:v>
      </x:c>
      <x:c r="J7" s="74" t="str">
        <x:v>api/tests/exam/question-duration-monotonic.spec.ts</x:v>
      </x:c>
      <x:c r="K7" s="75" t="str">
        <x:v>待实现</x:v>
      </x:c>
      <x:c r="L7" s="76" t="str">
        <x:v>未执行</x:v>
      </x:c>
      <x:c r="M7" s="75"/>
      <x:c r="N7" s="75"/>
      <x:c r="O7" s="75"/>
      <x:c r="P7" s="75" t="str">
        <x:v>当前实现待对齐：需重点验证较早累计值是否可能覆盖较新值。</x:v>
      </x:c>
      <x:c r="Q7" s="75"/>
      <x:c r="R7" s="75"/>
    </x:row>
    <x:row r="8" ht="78" customHeight="1">
      <x:c r="A8" s="73" t="str">
        <x:v>AUT-ANS-SAVE-005</x:v>
      </x:c>
      <x:c r="B8" s="73" t="str">
        <x:v>保存与并发</x:v>
      </x:c>
      <x:c r="C8" s="73" t="str">
        <x:v>保存失败保留本地状态并自动重试</x:v>
      </x:c>
      <x:c r="D8" s="73" t="str">
        <x:v>P0</x:v>
      </x:c>
      <x:c r="E8" s="73" t="str">
        <x:v>UI</x:v>
      </x:c>
      <x:c r="F8" s="73" t="str">
        <x:v>Mock 保存依次返回网络失败、服务错误、成功</x:v>
      </x:c>
      <x:c r="G8" s="73" t="str">
        <x:v>选答失败；切题失败；定时失败；返回前失败；恢复网络</x:v>
      </x:c>
      <x:c r="H8" s="73" t="str">
        <x:v>1. 选择或改答并触发失败
2. 读取选中值、保存状态和当前路由
3. 触发下一次选答/切题/定时或返回
4. 释放成功响应并刷新页面
5. 恢复Mock</x:v>
      </x:c>
      <x:c r="I8" s="73" t="str">
        <x:v>失败不清除最新答案；显示保存失败而非已保存；后续触发重试；返回前失败时阻止离开；成功后刷新可恢复。</x:v>
      </x:c>
      <x:c r="J8" s="73" t="str">
        <x:v>quiz-web/e2e/answering/save-failure-retry.spec.ts</x:v>
      </x:c>
      <x:c r="K8" s="75" t="str">
        <x:v>待实现</x:v>
      </x:c>
      <x:c r="L8" s="76" t="str">
        <x:v>未执行</x:v>
      </x:c>
      <x:c r="M8" s="75"/>
      <x:c r="N8" s="75"/>
      <x:c r="O8" s="75"/>
      <x:c r="P8" s="75" t="str">
        <x:v>当前实现待对齐：保存状态和失败反馈尚不完整。</x:v>
      </x:c>
      <x:c r="Q8" s="75"/>
      <x:c r="R8" s="75"/>
    </x:row>
    <x:row r="9" ht="78" customHeight="1">
      <x:c r="A9" s="74" t="str">
        <x:v>AUT-ANS-SAVE-006</x:v>
      </x:c>
      <x:c r="B9" s="74" t="str">
        <x:v>保存与并发</x:v>
      </x:c>
      <x:c r="C9" s="74" t="str">
        <x:v>提交或分段锁定与迟到保存竞态</x:v>
      </x:c>
      <x:c r="D9" s="74" t="str">
        <x:v>P0</x:v>
      </x:c>
      <x:c r="E9" s="74" t="str">
        <x:v>API</x:v>
      </x:c>
      <x:c r="F9" s="74" t="str">
        <x:v>可挂起进度保存，同时触发普通交卷或诊断分段结束</x:v>
      </x:c>
      <x:c r="G9" s="74" t="str">
        <x:v>保存先完成；提交先完成；同时到达；重复迟到保存；两个窗口不同答案</x:v>
      </x:c>
      <x:c r="H9" s="74" t="str">
        <x:v>1. 建立进行中记录并挂起保存请求
2. 触发交卷或分段结束
3. 按参数释放请求顺序
4. 读取最终答案、状态和结果
5. 重放迟到请求并清理</x:v>
      </x:c>
      <x:c r="I9" s="74" t="str">
        <x:v>正式锁定后任何迟到保存不得覆盖结果；锁定前成功保存可进入最终快照；冲突返回明确状态且只形成一个终态。</x:v>
      </x:c>
      <x:c r="J9" s="74" t="str">
        <x:v>api/tests/exam/save-submit-race.spec.ts</x:v>
      </x:c>
      <x:c r="K9" s="75" t="str">
        <x:v>待实现</x:v>
      </x:c>
      <x:c r="L9" s="76" t="str">
        <x:v>未执行</x:v>
      </x:c>
      <x:c r="M9" s="75"/>
      <x:c r="N9" s="75"/>
      <x:c r="O9" s="75"/>
      <x:c r="P9" s="75"/>
      <x:c r="Q9" s="75"/>
      <x:c r="R9" s="75"/>
    </x:row>
  </x:sheetData>
  <x:mergeCells>
    <x:mergeCell ref="A1:R1"/>
    <x:mergeCell ref="A2:R2"/>
  </x:mergeCells>
  <x:conditionalFormatting sqref="D4:D9">
    <x:cfRule type="containsText" dxfId="30" priority="1" operator="containsText" text="P0"/>
    <x:cfRule type="containsText" dxfId="31" priority="2" operator="containsText" text="P1"/>
  </x:conditionalFormatting>
  <x:conditionalFormatting sqref="L4:L9">
    <x:cfRule type="containsText" dxfId="32" priority="3" operator="containsText" text="通过"/>
    <x:cfRule type="containsText" dxfId="33" priority="4" operator="containsText" text="失败"/>
    <x:cfRule type="containsText" dxfId="34" priority="5" operator="containsText" text="阻塞"/>
  </x:conditionalFormatting>
  <x:conditionalFormatting sqref="M4:M9">
    <x:cfRule type="containsText" dxfId="35" priority="6" operator="containsText" text="是"/>
    <x:cfRule type="containsText" dxfId="36" priority="7" operator="containsText" text="否"/>
  </x:conditionalFormatting>
  <x:conditionalFormatting sqref="N4:N9">
    <x:cfRule type="containsText" dxfId="37" priority="8" operator="containsText" text="阻塞"/>
    <x:cfRule type="containsText" dxfId="38" priority="9" operator="containsText" text="高"/>
  </x:conditionalFormatting>
  <x:conditionalFormatting sqref="Q4:Q9">
    <x:cfRule type="containsText" dxfId="39" priority="10" operator="containsText" text="已完成"/>
  </x:conditionalFormatting>
  <x:conditionalFormatting sqref="R4:R9">
    <x:cfRule type="containsText" dxfId="40" priority="11" operator="containsText" text="通过"/>
    <x:cfRule type="containsText" dxfId="41" priority="12" operator="containsText" text="不通过"/>
  </x:conditionalFormatting>
  <x:conditionalFormatting sqref="K4:K9">
    <x:cfRule type="containsText" dxfId="42" priority="13" operator="containsText" text="已实现"/>
    <x:cfRule type="containsText" dxfId="43" priority="14" operator="containsText" text="开发中"/>
    <x:cfRule type="containsText" dxfId="44" priority="15" operator="containsText" text="暂缓"/>
  </x:conditionalFormatting>
  <x:dataValidations count="8">
    <x:dataValidation type="list" sqref="D4:D9">
      <x:formula1>"P0,P1,P2,P3"</x:formula1>
    </x:dataValidation>
    <x:dataValidation type="list" sqref="E4:E9">
      <x:formula1>"API,UI,混合"</x:formula1>
    </x:dataValidation>
    <x:dataValidation type="list" sqref="K4:K9">
      <x:formula1>"待实现,开发中,已实现,暂缓"</x:formula1>
    </x:dataValidation>
    <x:dataValidation type="list" sqref="L4:L9">
      <x:formula1>"未执行,通过,失败,阻塞,不适用"</x:formula1>
    </x:dataValidation>
    <x:dataValidation type="list" sqref="M4:M9">
      <x:formula1>"是,否"</x:formula1>
    </x:dataValidation>
    <x:dataValidation type="list" sqref="N4:N9">
      <x:formula1>"阻塞,高,中,低,轻微"</x:formula1>
    </x:dataValidation>
    <x:dataValidation type="list" sqref="Q4:Q9">
      <x:formula1>"已完成,待讨论,暂不修复"</x:formula1>
    </x:dataValidation>
    <x:dataValidation type="list" sqref="R4:R9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64476f4b6b43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1" hidden="0" customWidth="1"/>
    <x:col min="4" max="4" width="9" hidden="0" customWidth="1"/>
    <x:col min="5" max="5" width="11" hidden="0" customWidth="1"/>
    <x:col min="6" max="6" width="28" hidden="0" customWidth="1"/>
    <x:col min="7" max="7" width="32" hidden="0" customWidth="1"/>
    <x:col min="8" max="8" width="40" hidden="0" customWidth="1"/>
    <x:col min="9" max="9" width="44" hidden="0" customWidth="1"/>
    <x:col min="10" max="10" width="36" hidden="0" customWidth="1"/>
    <x:col min="11" max="11" width="12" hidden="0" customWidth="1"/>
    <x:col min="12" max="12" width="12" hidden="0" customWidth="1"/>
    <x:col min="13" max="13" width="11" hidden="0" customWidth="1"/>
    <x:col min="14" max="14" width="11" hidden="0" customWidth="1"/>
    <x:col min="15" max="15" width="28" hidden="0" customWidth="1"/>
    <x:col min="16" max="16" width="23" hidden="0" customWidth="1"/>
    <x:col min="17" max="17" width="12" hidden="0" customWidth="1"/>
    <x:col min="18" max="18" width="12" hidden="0" customWidth="1"/>
  </x:cols>
  <x:sheetData>
    <x:row r="1" ht="27" customHeight="1">
      <x:c r="A1" s="61" t="str">
        <x:v>4.6 在线答题自动化测试用例｜计时与可见性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</x:row>
    <x:row r="2" ht="20" customHeight="1">
      <x:c r="A2" s="63" t="str">
        <x:v>来源：文档/4-需求文档/4.6 在线答题.md　｜　范围：参数化规则、状态机、并发、时序与故障注入　｜　计时与可见性：6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自动化层级</x:v>
      </x:c>
      <x:c r="F3" s="68" t="str">
        <x:v>前置数据/Mock</x:v>
      </x:c>
      <x:c r="G3" s="68" t="str">
        <x:v>参数化测试数据</x:v>
      </x:c>
      <x:c r="H3" s="68" t="str">
        <x:v>自动化步骤</x:v>
      </x:c>
      <x:c r="I3" s="68" t="str">
        <x:v>断言</x:v>
      </x:c>
      <x:c r="J3" s="68" t="str">
        <x:v>建议脚本路径</x:v>
      </x:c>
      <x:c r="K3" s="68" t="str">
        <x:v>脚本状态</x:v>
      </x:c>
      <x:c r="L3" s="68" t="str">
        <x:v>执行状态</x:v>
      </x:c>
      <x:c r="M3" s="68" t="str">
        <x:v>是否通过</x:v>
      </x:c>
      <x:c r="N3" s="68" t="str">
        <x:v>缺陷等级</x:v>
      </x:c>
      <x:c r="O3" s="68" t="str">
        <x:v>实际结果</x:v>
      </x:c>
      <x:c r="P3" s="68" t="str">
        <x:v>备注</x:v>
      </x:c>
      <x:c r="Q3" s="68" t="str">
        <x:v>修复情况</x:v>
      </x:c>
      <x:c r="R3" s="68" t="str">
        <x:v>回归情况</x:v>
      </x:c>
    </x:row>
    <x:row r="4" ht="78" customHeight="1">
      <x:c r="A4" s="73" t="str">
        <x:v>AUT-ANS-TIME-001</x:v>
      </x:c>
      <x:c r="B4" s="73" t="str">
        <x:v>计时与可见性</x:v>
      </x:c>
      <x:c r="C4" s="73" t="str">
        <x:v>不限时练习前台有效计时与暂停</x:v>
      </x:c>
      <x:c r="D4" s="73" t="str">
        <x:v>P0</x:v>
      </x:c>
      <x:c r="E4" s="73" t="str">
        <x:v>UI</x:v>
      </x:c>
      <x:c r="F4" s="73" t="str">
        <x:v>假时钟；不限时普通练习；可触发页面隐藏和恢复</x:v>
      </x:c>
      <x:c r="G4" s="73" t="str">
        <x:v>前台10秒；隐藏120秒；未确认恢复30秒；确认后5秒；多次切题</x:v>
      </x:c>
      <x:c r="H4" s="73" t="str">
        <x:v>1. 记录整场与当前题计时基线
2. 推进前台和隐藏时间
3. 返回但不确认继续并读取计时
4. 确认后再次推进时间并切题
5. 读取显示与最终累计</x:v>
      </x:c>
      <x:c r="I4" s="73" t="str">
        <x:v>只累计前台且已确认的有效时间；隐藏和未确认期间均冻结；当前题仅累计其可见时段。</x:v>
      </x:c>
      <x:c r="J4" s="73" t="str">
        <x:v>quiz-web/e2e/answering/untimed-visibility-clock.spec.ts</x:v>
      </x:c>
      <x:c r="K4" s="75" t="str">
        <x:v>待实现</x:v>
      </x:c>
      <x:c r="L4" s="76" t="str">
        <x:v>未执行</x:v>
      </x:c>
      <x:c r="M4" s="75"/>
      <x:c r="N4" s="75"/>
      <x:c r="O4" s="75"/>
      <x:c r="P4" s="75"/>
      <x:c r="Q4" s="75"/>
      <x:c r="R4" s="75"/>
    </x:row>
    <x:row r="5" ht="78" customHeight="1">
      <x:c r="A5" s="74" t="str">
        <x:v>AUT-ANS-TIME-002</x:v>
      </x:c>
      <x:c r="B5" s="74" t="str">
        <x:v>计时与可见性</x:v>
      </x:c>
      <x:c r="C5" s="74" t="str">
        <x:v>限时练习连续截止与单题暂停</x:v>
      </x:c>
      <x:c r="D5" s="74" t="str">
        <x:v>P0</x:v>
      </x:c>
      <x:c r="E5" s="74" t="str">
        <x:v>混合</x:v>
      </x:c>
      <x:c r="F5" s="74" t="str">
        <x:v>固定服务端开始与截止时间；假时钟；限时题库练习</x:v>
      </x:c>
      <x:c r="G5" s="74" t="str">
        <x:v>隐藏前/后；刷新；跨5分钟阈值；隐藏期间到期；网络延迟</x:v>
      </x:c>
      <x:c r="H5" s="74" t="str">
        <x:v>1. 建立截止时间并读取剩余时间
2. 推进前台或隐藏时钟
3. 刷新/恢复页面并读取服务端会话
4. 到期后尝试保存和改答
5. 提交并读取总时长</x:v>
      </x:c>
      <x:c r="I5" s="74" t="str">
        <x:v>整场按原截止连续推进；隐藏不累计单题时间；到期后锁定且总时长不超过规定值；刷新不重置截止。</x:v>
      </x:c>
      <x:c r="J5" s="74" t="str">
        <x:v>api/tests/exam/timed-practice-deadline.spec.ts</x:v>
      </x:c>
      <x:c r="K5" s="75" t="str">
        <x:v>待实现</x:v>
      </x:c>
      <x:c r="L5" s="76" t="str">
        <x:v>未执行</x:v>
      </x:c>
      <x:c r="M5" s="75"/>
      <x:c r="N5" s="75"/>
      <x:c r="O5" s="75"/>
      <x:c r="P5" s="75"/>
      <x:c r="Q5" s="75"/>
      <x:c r="R5" s="75"/>
    </x:row>
    <x:row r="6" ht="78" customHeight="1">
      <x:c r="A6" s="73" t="str">
        <x:v>AUT-ANS-TIME-003</x:v>
      </x:c>
      <x:c r="B6" s="73" t="str">
        <x:v>计时与可见性</x:v>
      </x:c>
      <x:c r="C6" s="73" t="str">
        <x:v>诊断暂停恢复冻结剩余时间</x:v>
      </x:c>
      <x:c r="D6" s="73" t="str">
        <x:v>P0</x:v>
      </x:c>
      <x:c r="E6" s="73" t="str">
        <x:v>API</x:v>
      </x:c>
      <x:c r="F6" s="73" t="str">
        <x:v>准备诊断作答和休息阶段；使用服务端假时钟</x:v>
      </x:c>
      <x:c r="G6" s="73" t="str">
        <x:v>作答暂停；休息暂停；暂停1次/重复；恢复；关闭120秒；暂停时已到期</x:v>
      </x:c>
      <x:c r="H6" s="73" t="str">
        <x:v>1. 记录阶段、截止和剩余时间
2. 按参数暂停并推进时钟
3. 恢复会话并读取新截止
4. 重复暂停/恢复或处理到期
5. 清理记录</x:v>
      </x:c>
      <x:c r="I6" s="73" t="str">
        <x:v>成功暂停冻结剩余时间且隐藏时长不扣减；恢复生成等量新截止；重复请求不延长；到期阶段先收敛不能被暂停复活。</x:v>
      </x:c>
      <x:c r="J6" s="73" t="str">
        <x:v>api/tests/diagnostic/pause-resume-clock.spec.ts</x:v>
      </x:c>
      <x:c r="K6" s="75" t="str">
        <x:v>待实现</x:v>
      </x:c>
      <x:c r="L6" s="76" t="str">
        <x:v>未执行</x:v>
      </x:c>
      <x:c r="M6" s="75"/>
      <x:c r="N6" s="75"/>
      <x:c r="O6" s="75"/>
      <x:c r="P6" s="75"/>
      <x:c r="Q6" s="75"/>
      <x:c r="R6" s="75"/>
    </x:row>
    <x:row r="7" ht="78" customHeight="1">
      <x:c r="A7" s="74" t="str">
        <x:v>AUT-ANS-TIME-004</x:v>
      </x:c>
      <x:c r="B7" s="74" t="str">
        <x:v>计时与可见性</x:v>
      </x:c>
      <x:c r="C7" s="74" t="str">
        <x:v>五分钟警示阈值与单次提醒</x:v>
      </x:c>
      <x:c r="D7" s="74" t="str">
        <x:v>P1</x:v>
      </x:c>
      <x:c r="E7" s="74" t="str">
        <x:v>UI</x:v>
      </x:c>
      <x:c r="F7" s="74" t="str">
        <x:v>假时钟；可重建普通限时练习和多个诊断分段</x:v>
      </x:c>
      <x:c r="G7" s="74" t="str">
        <x:v>301/300/299秒；切题；隐藏恢复；同分段刷新；进入下一分段</x:v>
      </x:c>
      <x:c r="H7" s="74" t="str">
        <x:v>1. 将剩余时间设置到各阈值
2. 读取计时器样式和提醒调用次数
3. 执行切题、隐藏恢复和刷新
4. 进入下一诊断分段后重复阈值
5. 恢复时钟</x:v>
      </x:c>
      <x:c r="I7" s="74" t="str">
        <x:v>300秒及以下进入警示；同一分段只提醒一次；进入新分段后可重新提醒；操作不改变真实剩余时间。</x:v>
      </x:c>
      <x:c r="J7" s="74" t="str">
        <x:v>quiz-web/e2e/answering/five-minute-warning.spec.ts</x:v>
      </x:c>
      <x:c r="K7" s="75" t="str">
        <x:v>待实现</x:v>
      </x:c>
      <x:c r="L7" s="76" t="str">
        <x:v>未执行</x:v>
      </x:c>
      <x:c r="M7" s="75"/>
      <x:c r="N7" s="75"/>
      <x:c r="O7" s="75"/>
      <x:c r="P7" s="75"/>
      <x:c r="Q7" s="75"/>
      <x:c r="R7" s="75"/>
    </x:row>
    <x:row r="8" ht="78" customHeight="1">
      <x:c r="A8" s="73" t="str">
        <x:v>AUT-ANS-TIME-005</x:v>
      </x:c>
      <x:c r="B8" s="73" t="str">
        <x:v>计时与可见性</x:v>
      </x:c>
      <x:c r="C8" s="73" t="str">
        <x:v>客户端时间篡改不延长作答</x:v>
      </x:c>
      <x:c r="D8" s="73" t="str">
        <x:v>P0</x:v>
      </x:c>
      <x:c r="E8" s="73" t="str">
        <x:v>混合</x:v>
      </x:c>
      <x:c r="F8" s="73" t="str">
        <x:v>固定服务端时钟和截止；可修改浏览器Date、时区与计时器回调</x:v>
      </x:c>
      <x:c r="G8" s="73" t="str">
        <x:v>客户端-24小时/+24小时；暂停JS；标签节流；旧截止缓存；正常时钟</x:v>
      </x:c>
      <x:c r="H8" s="73" t="str">
        <x:v>1. 建立限时会话并读取服务端截止
2. 按参数篡改客户端时间或刷新机制
3. 尝试保存、恢复和提交
4. 读取服务端状态与最终时长
5. 恢复环境</x:v>
      </x:c>
      <x:c r="I8" s="73" t="str">
        <x:v>截止、到期和最终时长由服务端决定；客户端变化最多影响瞬时显示，重新同步后校正且不能获得额外作答时间。</x:v>
      </x:c>
      <x:c r="J8" s="73" t="str">
        <x:v>quiz-web/e2e/answering/server-time-authority.spec.ts</x:v>
      </x:c>
      <x:c r="K8" s="75" t="str">
        <x:v>待实现</x:v>
      </x:c>
      <x:c r="L8" s="76" t="str">
        <x:v>未执行</x:v>
      </x:c>
      <x:c r="M8" s="75"/>
      <x:c r="N8" s="75"/>
      <x:c r="O8" s="75"/>
      <x:c r="P8" s="75"/>
      <x:c r="Q8" s="75"/>
      <x:c r="R8" s="75"/>
    </x:row>
    <x:row r="9" ht="78" customHeight="1">
      <x:c r="A9" s="74" t="str">
        <x:v>AUT-ANS-TIME-006</x:v>
      </x:c>
      <x:c r="B9" s="74" t="str">
        <x:v>计时与可见性</x:v>
      </x:c>
      <x:c r="C9" s="74" t="str">
        <x:v>到期保存拒绝与自动结束收敛</x:v>
      </x:c>
      <x:c r="D9" s="74" t="str">
        <x:v>P0</x:v>
      </x:c>
      <x:c r="E9" s="74" t="str">
        <x:v>混合</x:v>
      </x:c>
      <x:c r="F9" s="74" t="str">
        <x:v>准备即将到期的限时练习和诊断分段；挂起最后一次保存</x:v>
      </x:c>
      <x:c r="G9" s="74" t="str">
        <x:v>到期前保存成功；到期后保存；响应在到期后返回；到期后刷新；重复时间到事件</x:v>
      </x:c>
      <x:c r="H9" s="74" t="str">
        <x:v>1. 记录到期前答案和阶段
2. 挂起或发送保存并推进越过截止
3. 触发页面时间到或刷新恢复
4. 读取终态、答案和提交数量
5. 重放时间到事件并清理</x:v>
      </x:c>
      <x:c r="I9" s="74" t="str">
        <x:v>到期后的普通保存不继续写入；页面转入锁定结束而非循环报错；普通练习只交卷一次，诊断只结束当前分段并按状态机推进。</x:v>
      </x:c>
      <x:c r="J9" s="74" t="str">
        <x:v>api/tests/exam/expiry-save-transition.spec.ts</x:v>
      </x:c>
      <x:c r="K9" s="75" t="str">
        <x:v>待实现</x:v>
      </x:c>
      <x:c r="L9" s="76" t="str">
        <x:v>未执行</x:v>
      </x:c>
      <x:c r="M9" s="75"/>
      <x:c r="N9" s="75"/>
      <x:c r="O9" s="75"/>
      <x:c r="P9" s="75"/>
      <x:c r="Q9" s="75"/>
      <x:c r="R9" s="75"/>
    </x:row>
  </x:sheetData>
  <x:mergeCells>
    <x:mergeCell ref="A1:R1"/>
    <x:mergeCell ref="A2:R2"/>
  </x:mergeCells>
  <x:conditionalFormatting sqref="D4:D9">
    <x:cfRule type="containsText" dxfId="45" priority="1" operator="containsText" text="P0"/>
    <x:cfRule type="containsText" dxfId="46" priority="2" operator="containsText" text="P1"/>
  </x:conditionalFormatting>
  <x:conditionalFormatting sqref="L4:L9">
    <x:cfRule type="containsText" dxfId="47" priority="3" operator="containsText" text="通过"/>
    <x:cfRule type="containsText" dxfId="48" priority="4" operator="containsText" text="失败"/>
    <x:cfRule type="containsText" dxfId="49" priority="5" operator="containsText" text="阻塞"/>
  </x:conditionalFormatting>
  <x:conditionalFormatting sqref="M4:M9">
    <x:cfRule type="containsText" dxfId="50" priority="6" operator="containsText" text="是"/>
    <x:cfRule type="containsText" dxfId="51" priority="7" operator="containsText" text="否"/>
  </x:conditionalFormatting>
  <x:conditionalFormatting sqref="N4:N9">
    <x:cfRule type="containsText" dxfId="52" priority="8" operator="containsText" text="阻塞"/>
    <x:cfRule type="containsText" dxfId="53" priority="9" operator="containsText" text="高"/>
  </x:conditionalFormatting>
  <x:conditionalFormatting sqref="Q4:Q9">
    <x:cfRule type="containsText" dxfId="54" priority="10" operator="containsText" text="已完成"/>
  </x:conditionalFormatting>
  <x:conditionalFormatting sqref="R4:R9">
    <x:cfRule type="containsText" dxfId="55" priority="11" operator="containsText" text="通过"/>
    <x:cfRule type="containsText" dxfId="56" priority="12" operator="containsText" text="不通过"/>
  </x:conditionalFormatting>
  <x:conditionalFormatting sqref="K4:K9">
    <x:cfRule type="containsText" dxfId="57" priority="13" operator="containsText" text="已实现"/>
    <x:cfRule type="containsText" dxfId="58" priority="14" operator="containsText" text="开发中"/>
    <x:cfRule type="containsText" dxfId="59" priority="15" operator="containsText" text="暂缓"/>
  </x:conditionalFormatting>
  <x:dataValidations count="8">
    <x:dataValidation type="list" sqref="D4:D9">
      <x:formula1>"P0,P1,P2,P3"</x:formula1>
    </x:dataValidation>
    <x:dataValidation type="list" sqref="E4:E9">
      <x:formula1>"API,UI,混合"</x:formula1>
    </x:dataValidation>
    <x:dataValidation type="list" sqref="K4:K9">
      <x:formula1>"待实现,开发中,已实现,暂缓"</x:formula1>
    </x:dataValidation>
    <x:dataValidation type="list" sqref="L4:L9">
      <x:formula1>"未执行,通过,失败,阻塞,不适用"</x:formula1>
    </x:dataValidation>
    <x:dataValidation type="list" sqref="M4:M9">
      <x:formula1>"是,否"</x:formula1>
    </x:dataValidation>
    <x:dataValidation type="list" sqref="N4:N9">
      <x:formula1>"阻塞,高,中,低,轻微"</x:formula1>
    </x:dataValidation>
    <x:dataValidation type="list" sqref="Q4:Q9">
      <x:formula1>"已完成,待讨论,暂不修复"</x:formula1>
    </x:dataValidation>
    <x:dataValidation type="list" sqref="R4:R9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4cf93c4c3544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1" hidden="0" customWidth="1"/>
    <x:col min="4" max="4" width="9" hidden="0" customWidth="1"/>
    <x:col min="5" max="5" width="11" hidden="0" customWidth="1"/>
    <x:col min="6" max="6" width="28" hidden="0" customWidth="1"/>
    <x:col min="7" max="7" width="32" hidden="0" customWidth="1"/>
    <x:col min="8" max="8" width="40" hidden="0" customWidth="1"/>
    <x:col min="9" max="9" width="44" hidden="0" customWidth="1"/>
    <x:col min="10" max="10" width="36" hidden="0" customWidth="1"/>
    <x:col min="11" max="11" width="12" hidden="0" customWidth="1"/>
    <x:col min="12" max="12" width="12" hidden="0" customWidth="1"/>
    <x:col min="13" max="13" width="11" hidden="0" customWidth="1"/>
    <x:col min="14" max="14" width="11" hidden="0" customWidth="1"/>
    <x:col min="15" max="15" width="28" hidden="0" customWidth="1"/>
    <x:col min="16" max="16" width="23" hidden="0" customWidth="1"/>
    <x:col min="17" max="17" width="12" hidden="0" customWidth="1"/>
    <x:col min="18" max="18" width="12" hidden="0" customWidth="1"/>
  </x:cols>
  <x:sheetData>
    <x:row r="1" ht="27" customHeight="1">
      <x:c r="A1" s="61" t="str">
        <x:v>4.6 在线答题自动化测试用例｜练习交卷与统计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</x:row>
    <x:row r="2" ht="20" customHeight="1">
      <x:c r="A2" s="63" t="str">
        <x:v>来源：文档/4-需求文档/4.6 在线答题.md　｜　范围：参数化规则、状态机、并发、时序与故障注入　｜　练习交卷与统计：6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自动化层级</x:v>
      </x:c>
      <x:c r="F3" s="68" t="str">
        <x:v>前置数据/Mock</x:v>
      </x:c>
      <x:c r="G3" s="68" t="str">
        <x:v>参数化测试数据</x:v>
      </x:c>
      <x:c r="H3" s="68" t="str">
        <x:v>自动化步骤</x:v>
      </x:c>
      <x:c r="I3" s="68" t="str">
        <x:v>断言</x:v>
      </x:c>
      <x:c r="J3" s="68" t="str">
        <x:v>建议脚本路径</x:v>
      </x:c>
      <x:c r="K3" s="68" t="str">
        <x:v>脚本状态</x:v>
      </x:c>
      <x:c r="L3" s="68" t="str">
        <x:v>执行状态</x:v>
      </x:c>
      <x:c r="M3" s="68" t="str">
        <x:v>是否通过</x:v>
      </x:c>
      <x:c r="N3" s="68" t="str">
        <x:v>缺陷等级</x:v>
      </x:c>
      <x:c r="O3" s="68" t="str">
        <x:v>实际结果</x:v>
      </x:c>
      <x:c r="P3" s="68" t="str">
        <x:v>备注</x:v>
      </x:c>
      <x:c r="Q3" s="68" t="str">
        <x:v>修复情况</x:v>
      </x:c>
      <x:c r="R3" s="68" t="str">
        <x:v>回归情况</x:v>
      </x:c>
    </x:row>
    <x:row r="4" ht="78" customHeight="1">
      <x:c r="A4" s="73" t="str">
        <x:v>AUT-ANS-SUBMIT-001</x:v>
      </x:c>
      <x:c r="B4" s="73" t="str">
        <x:v>练习交卷与统计</x:v>
      </x:c>
      <x:c r="C4" s="73" t="str">
        <x:v>最终答案判分与未答处理矩阵</x:v>
      </x:c>
      <x:c r="D4" s="73" t="str">
        <x:v>P0</x:v>
      </x:c>
      <x:c r="E4" s="73" t="str">
        <x:v>API</x:v>
      </x:c>
      <x:c r="F4" s="73" t="str">
        <x:v>准备答案已知的固定练习及完整答案记录</x:v>
      </x:c>
      <x:c r="G4" s="73" t="str">
        <x:v>全对；全错；部分未答；改答后正确；跳过；未查看；非法题缺失</x:v>
      </x:c>
      <x:c r="H4" s="73" t="str">
        <x:v>1. 建立题目、作答和统计基线
2. 按参数提交最终快照
3. 读取正确数、错误数和逐题结果
4. 打开解析核对最终选择
5. 清理记录</x:v>
      </x:c>
      <x:c r="I4" s="73" t="str">
        <x:v>按最后合法答案判分；未答保持未答并计入非正确题；正确数+错误数等于本场固定题量；缺题异常阻止覆盖结果。</x:v>
      </x:c>
      <x:c r="J4" s="73" t="str">
        <x:v>api/tests/exam/final-scoring-matrix.spec.ts</x:v>
      </x:c>
      <x:c r="K4" s="75" t="str">
        <x:v>待实现</x:v>
      </x:c>
      <x:c r="L4" s="76" t="str">
        <x:v>未执行</x:v>
      </x:c>
      <x:c r="M4" s="75"/>
      <x:c r="N4" s="75"/>
      <x:c r="O4" s="75"/>
      <x:c r="P4" s="75"/>
      <x:c r="Q4" s="75"/>
      <x:c r="R4" s="75"/>
    </x:row>
    <x:row r="5" ht="78" customHeight="1">
      <x:c r="A5" s="74" t="str">
        <x:v>AUT-ANS-SUBMIT-002</x:v>
      </x:c>
      <x:c r="B5" s="74" t="str">
        <x:v>练习交卷与统计</x:v>
      </x:c>
      <x:c r="C5" s="74" t="str">
        <x:v>交卷重试并发与响应丢失幂等</x:v>
      </x:c>
      <x:c r="D5" s="74" t="str">
        <x:v>P0</x:v>
      </x:c>
      <x:c r="E5" s="74" t="str">
        <x:v>API</x:v>
      </x:c>
      <x:c r="F5" s="74" t="str">
        <x:v>准备可交卷记录和稳定提交身份；可模拟成功后响应丢失</x:v>
      </x:c>
      <x:c r="G5" s="74" t="str">
        <x:v>顺序重复2次；并发2/5次；响应丢失后重试；不同答案快照并发；刷新后重试</x:v>
      </x:c>
      <x:c r="H5" s="74" t="str">
        <x:v>1. 记录历史、统计、额度和错题基线
2. 按参数提交或并发提交
3. 重试并读取每次返回
4. 读取终态和所有派生统计
5. 清理记录</x:v>
      </x:c>
      <x:c r="I5" s="74" t="str">
        <x:v>只有一次状态迁移和一条历史；所有重试返回同一结果；额度、累计题量、错题事件和诊断任务均不重复。</x:v>
      </x:c>
      <x:c r="J5" s="74" t="str">
        <x:v>api/tests/exam/submit-idempotency.spec.ts</x:v>
      </x:c>
      <x:c r="K5" s="75" t="str">
        <x:v>待实现</x:v>
      </x:c>
      <x:c r="L5" s="76" t="str">
        <x:v>未执行</x:v>
      </x:c>
      <x:c r="M5" s="75"/>
      <x:c r="N5" s="75"/>
      <x:c r="O5" s="75"/>
      <x:c r="P5" s="75"/>
      <x:c r="Q5" s="75"/>
      <x:c r="R5" s="75"/>
    </x:row>
    <x:row r="6" ht="78" customHeight="1">
      <x:c r="A6" s="73" t="str">
        <x:v>AUT-ANS-SUBMIT-003</x:v>
      </x:c>
      <x:c r="B6" s="73" t="str">
        <x:v>练习交卷与统计</x:v>
      </x:c>
      <x:c r="C6" s="73" t="str">
        <x:v>交卷事务失败无部分统计</x:v>
      </x:c>
      <x:c r="D6" s="73" t="str">
        <x:v>P0</x:v>
      </x:c>
      <x:c r="E6" s="73" t="str">
        <x:v>API</x:v>
      </x:c>
      <x:c r="F6" s="73" t="str">
        <x:v>可在判分、答案写入、记录完成、额度、历史或错题更新阶段注入失败</x:v>
      </x:c>
      <x:c r="G6" s="73" t="str">
        <x:v>各事务节点失败；超时；连接中断；成功对照组</x:v>
      </x:c>
      <x:c r="H6" s="73" t="str">
        <x:v>1. 读取记录与所有派生统计基线
2. 在指定节点注入失败并提交
3. 读取记录、答案、统计、额度和错题
4. 移除故障后使用同一提交重试
5. 清理数据</x:v>
      </x:c>
      <x:c r="I6" s="73" t="str">
        <x:v>失败时不得出现半提交、半扣量或部分错题；重试成功后所有数据一次性更新且仅一次。</x:v>
      </x:c>
      <x:c r="J6" s="73" t="str">
        <x:v>api/tests/exam/submit-atomicity.spec.ts</x:v>
      </x:c>
      <x:c r="K6" s="75" t="str">
        <x:v>待实现</x:v>
      </x:c>
      <x:c r="L6" s="76" t="str">
        <x:v>未执行</x:v>
      </x:c>
      <x:c r="M6" s="75"/>
      <x:c r="N6" s="75"/>
      <x:c r="O6" s="75"/>
      <x:c r="P6" s="75"/>
      <x:c r="Q6" s="75"/>
      <x:c r="R6" s="75"/>
    </x:row>
    <x:row r="7" ht="78" customHeight="1">
      <x:c r="A7" s="74" t="str">
        <x:v>AUT-ANS-SUBMIT-004</x:v>
      </x:c>
      <x:c r="B7" s="74" t="str">
        <x:v>练习交卷与统计</x:v>
      </x:c>
      <x:c r="C7" s="74" t="str">
        <x:v>限时与不限时最终总时长口径</x:v>
      </x:c>
      <x:c r="D7" s="74" t="str">
        <x:v>P0</x:v>
      </x:c>
      <x:c r="E7" s="74" t="str">
        <x:v>API</x:v>
      </x:c>
      <x:c r="F7" s="74" t="str">
        <x:v>使用假时钟准备不限时与限时普通练习及逐题累计时间</x:v>
      </x:c>
      <x:c r="G7" s="74" t="str">
        <x:v>不限时多题合计；重复累计；限时提前交卷；截止后延迟交卷；隐藏期间；0秒</x:v>
      </x:c>
      <x:c r="H7" s="74" t="str">
        <x:v>1. 建立时间和逐题累计基线
2. 推进时钟并保存各题时间
3. 正式提交
4. 读取整场与逐题时长
5. 重复读取并清理</x:v>
      </x:c>
      <x:c r="I7" s="74" t="str">
        <x:v>不限时总时长为各题有效累计之和；限时总时长不超过开始至截止；隐藏单题时间不增加；重复保存不放大时长。</x:v>
      </x:c>
      <x:c r="J7" s="74" t="str">
        <x:v>api/tests/exam/final-duration-rules.spec.ts</x:v>
      </x:c>
      <x:c r="K7" s="75" t="str">
        <x:v>待实现</x:v>
      </x:c>
      <x:c r="L7" s="76" t="str">
        <x:v>未执行</x:v>
      </x:c>
      <x:c r="M7" s="75"/>
      <x:c r="N7" s="75"/>
      <x:c r="O7" s="75"/>
      <x:c r="P7" s="75"/>
      <x:c r="Q7" s="75"/>
      <x:c r="R7" s="75"/>
    </x:row>
    <x:row r="8" ht="78" customHeight="1">
      <x:c r="A8" s="73" t="str">
        <x:v>AUT-ANS-SUBMIT-005</x:v>
      </x:c>
      <x:c r="B8" s="73" t="str">
        <x:v>练习交卷与统计</x:v>
      </x:c>
      <x:c r="C8" s="73" t="str">
        <x:v>正式交卷驱动统计生命周期与考试隔离</x:v>
      </x:c>
      <x:c r="D8" s="73" t="str">
        <x:v>P0</x:v>
      </x:c>
      <x:c r="E8" s="73" t="str">
        <x:v>混合</x:v>
      </x:c>
      <x:c r="F8" s="73" t="str">
        <x:v>准备ESAT/TMUA账号基线、练习本、N题记录及K道错题，其中U道为新唯一错题</x:v>
      </x:c>
      <x:c r="G8" s="73" t="str">
        <x:v>状态=未开始/进行中/已提交；N=1/8/12；答题数=0/N；重复提交；考试=ESAT/TMUA</x:v>
      </x:c>
      <x:c r="H8" s="73" t="str">
        <x:v>1. 读取个人中心Q、练习本H/T、额度和错题W基线
2. 建立或保存进行中记录并重新读取
3. 正式交卷后读取全部展示与底层汇总
4. 重试提交、刷新和重登后再读
5. 切换另一考试并清理</x:v>
      </x:c>
      <x:c r="I8" s="73" t="str">
        <x:v>未开始和进行中均不变；提交后Q+N、H+1、T+N、额度消耗N、W+U；未答和旧题也计入N；重复错题只加历史次数；重试不重复且另一考试不变。</x:v>
      </x:c>
      <x:c r="J8" s="73" t="str">
        <x:v>quiz-web/e2e/answering/submission-aggregate-lifecycle.spec.ts</x:v>
      </x:c>
      <x:c r="K8" s="75" t="str">
        <x:v>待实现</x:v>
      </x:c>
      <x:c r="L8" s="76" t="str">
        <x:v>未执行</x:v>
      </x:c>
      <x:c r="M8" s="75"/>
      <x:c r="N8" s="75"/>
      <x:c r="O8" s="75"/>
      <x:c r="P8" s="75"/>
      <x:c r="Q8" s="75"/>
      <x:c r="R8" s="75"/>
    </x:row>
    <x:row r="9" ht="78" customHeight="1">
      <x:c r="A9" s="74" t="str">
        <x:v>AUT-ANS-SUBMIT-006</x:v>
      </x:c>
      <x:c r="B9" s="74" t="str">
        <x:v>练习交卷与统计</x:v>
      </x:c>
      <x:c r="C9" s="74" t="str">
        <x:v>结果弹窗、解析与来源返回矩阵</x:v>
      </x:c>
      <x:c r="D9" s="74" t="str">
        <x:v>P1</x:v>
      </x:c>
      <x:c r="E9" s="74" t="str">
        <x:v>UI</x:v>
      </x:c>
      <x:c r="F9" s="74" t="str">
        <x:v>准备来自试题库、临时练习和练习本的已提交记录；可Mock解析失败</x:v>
      </x:c>
      <x:c r="G9" s="74" t="str">
        <x:v>三种来源；点击查看解析；点击返回；浏览器刷新；解析失败后重试；非法返回地址</x:v>
      </x:c>
      <x:c r="H9" s="74" t="str">
        <x:v>1. 按来源完成或打开已提交记录
2. 操作成功弹窗的两类入口
3. 读取解析题量、答案和返回目标
4. 注入解析失败并重试
5. 清理Mock</x:v>
      </x:c>
      <x:c r="I9" s="74" t="str">
        <x:v>不进入旧概览页；解析展示本场全部题；返回正确来源且只允许站内安全目标；解析失败不把记录改回进行中。</x:v>
      </x:c>
      <x:c r="J9" s="74" t="str">
        <x:v>quiz-web/e2e/answering/result-return-routes.spec.ts</x:v>
      </x:c>
      <x:c r="K9" s="75" t="str">
        <x:v>待实现</x:v>
      </x:c>
      <x:c r="L9" s="76" t="str">
        <x:v>未执行</x:v>
      </x:c>
      <x:c r="M9" s="75"/>
      <x:c r="N9" s="75"/>
      <x:c r="O9" s="75"/>
      <x:c r="P9" s="75"/>
      <x:c r="Q9" s="75"/>
      <x:c r="R9" s="75"/>
    </x:row>
  </x:sheetData>
  <x:mergeCells>
    <x:mergeCell ref="A1:R1"/>
    <x:mergeCell ref="A2:R2"/>
  </x:mergeCells>
  <x:conditionalFormatting sqref="D4:D9">
    <x:cfRule type="containsText" dxfId="60" priority="1" operator="containsText" text="P0"/>
    <x:cfRule type="containsText" dxfId="61" priority="2" operator="containsText" text="P1"/>
  </x:conditionalFormatting>
  <x:conditionalFormatting sqref="L4:L9">
    <x:cfRule type="containsText" dxfId="62" priority="3" operator="containsText" text="通过"/>
    <x:cfRule type="containsText" dxfId="63" priority="4" operator="containsText" text="失败"/>
    <x:cfRule type="containsText" dxfId="64" priority="5" operator="containsText" text="阻塞"/>
  </x:conditionalFormatting>
  <x:conditionalFormatting sqref="M4:M9">
    <x:cfRule type="containsText" dxfId="65" priority="6" operator="containsText" text="是"/>
    <x:cfRule type="containsText" dxfId="66" priority="7" operator="containsText" text="否"/>
  </x:conditionalFormatting>
  <x:conditionalFormatting sqref="N4:N9">
    <x:cfRule type="containsText" dxfId="67" priority="8" operator="containsText" text="阻塞"/>
    <x:cfRule type="containsText" dxfId="68" priority="9" operator="containsText" text="高"/>
  </x:conditionalFormatting>
  <x:conditionalFormatting sqref="Q4:Q9">
    <x:cfRule type="containsText" dxfId="69" priority="10" operator="containsText" text="已完成"/>
  </x:conditionalFormatting>
  <x:conditionalFormatting sqref="R4:R9">
    <x:cfRule type="containsText" dxfId="70" priority="11" operator="containsText" text="通过"/>
    <x:cfRule type="containsText" dxfId="71" priority="12" operator="containsText" text="不通过"/>
  </x:conditionalFormatting>
  <x:conditionalFormatting sqref="K4:K9">
    <x:cfRule type="containsText" dxfId="72" priority="13" operator="containsText" text="已实现"/>
    <x:cfRule type="containsText" dxfId="73" priority="14" operator="containsText" text="开发中"/>
    <x:cfRule type="containsText" dxfId="74" priority="15" operator="containsText" text="暂缓"/>
  </x:conditionalFormatting>
  <x:dataValidations count="8">
    <x:dataValidation type="list" sqref="D4:D9">
      <x:formula1>"P0,P1,P2,P3"</x:formula1>
    </x:dataValidation>
    <x:dataValidation type="list" sqref="E4:E9">
      <x:formula1>"API,UI,混合"</x:formula1>
    </x:dataValidation>
    <x:dataValidation type="list" sqref="K4:K9">
      <x:formula1>"待实现,开发中,已实现,暂缓"</x:formula1>
    </x:dataValidation>
    <x:dataValidation type="list" sqref="L4:L9">
      <x:formula1>"未执行,通过,失败,阻塞,不适用"</x:formula1>
    </x:dataValidation>
    <x:dataValidation type="list" sqref="M4:M9">
      <x:formula1>"是,否"</x:formula1>
    </x:dataValidation>
    <x:dataValidation type="list" sqref="N4:N9">
      <x:formula1>"阻塞,高,中,低,轻微"</x:formula1>
    </x:dataValidation>
    <x:dataValidation type="list" sqref="Q4:Q9">
      <x:formula1>"已完成,待讨论,暂不修复"</x:formula1>
    </x:dataValidation>
    <x:dataValidation type="list" sqref="R4:R9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b32f3f704548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1" hidden="0" customWidth="1"/>
    <x:col min="4" max="4" width="9" hidden="0" customWidth="1"/>
    <x:col min="5" max="5" width="11" hidden="0" customWidth="1"/>
    <x:col min="6" max="6" width="28" hidden="0" customWidth="1"/>
    <x:col min="7" max="7" width="32" hidden="0" customWidth="1"/>
    <x:col min="8" max="8" width="40" hidden="0" customWidth="1"/>
    <x:col min="9" max="9" width="44" hidden="0" customWidth="1"/>
    <x:col min="10" max="10" width="36" hidden="0" customWidth="1"/>
    <x:col min="11" max="11" width="12" hidden="0" customWidth="1"/>
    <x:col min="12" max="12" width="12" hidden="0" customWidth="1"/>
    <x:col min="13" max="13" width="11" hidden="0" customWidth="1"/>
    <x:col min="14" max="14" width="11" hidden="0" customWidth="1"/>
    <x:col min="15" max="15" width="28" hidden="0" customWidth="1"/>
    <x:col min="16" max="16" width="23" hidden="0" customWidth="1"/>
    <x:col min="17" max="17" width="12" hidden="0" customWidth="1"/>
    <x:col min="18" max="18" width="12" hidden="0" customWidth="1"/>
  </x:cols>
  <x:sheetData>
    <x:row r="1" ht="27" customHeight="1">
      <x:c r="A1" s="61" t="str">
        <x:v>4.6 在线答题自动化测试用例｜诊断分段与提交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</x:row>
    <x:row r="2" ht="20" customHeight="1">
      <x:c r="A2" s="63" t="str">
        <x:v>来源：文档/4-需求文档/4.6 在线答题.md　｜　范围：参数化规则、状态机、并发、时序与故障注入　｜　诊断分段与提交：6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自动化层级</x:v>
      </x:c>
      <x:c r="F3" s="68" t="str">
        <x:v>前置数据/Mock</x:v>
      </x:c>
      <x:c r="G3" s="68" t="str">
        <x:v>参数化测试数据</x:v>
      </x:c>
      <x:c r="H3" s="68" t="str">
        <x:v>自动化步骤</x:v>
      </x:c>
      <x:c r="I3" s="68" t="str">
        <x:v>断言</x:v>
      </x:c>
      <x:c r="J3" s="68" t="str">
        <x:v>建议脚本路径</x:v>
      </x:c>
      <x:c r="K3" s="68" t="str">
        <x:v>脚本状态</x:v>
      </x:c>
      <x:c r="L3" s="68" t="str">
        <x:v>执行状态</x:v>
      </x:c>
      <x:c r="M3" s="68" t="str">
        <x:v>是否通过</x:v>
      </x:c>
      <x:c r="N3" s="68" t="str">
        <x:v>缺陷等级</x:v>
      </x:c>
      <x:c r="O3" s="68" t="str">
        <x:v>实际结果</x:v>
      </x:c>
      <x:c r="P3" s="68" t="str">
        <x:v>备注</x:v>
      </x:c>
      <x:c r="Q3" s="68" t="str">
        <x:v>修复情况</x:v>
      </x:c>
      <x:c r="R3" s="68" t="str">
        <x:v>回归情况</x:v>
      </x:c>
    </x:row>
    <x:row r="4" ht="78" customHeight="1">
      <x:c r="A4" s="73" t="str">
        <x:v>AUT-ANS-DIAG-001</x:v>
      </x:c>
      <x:c r="B4" s="73" t="str">
        <x:v>诊断分段与提交</x:v>
      </x:c>
      <x:c r="C4" s="73" t="str">
        <x:v>诊断分段完成保存并永久锁定</x:v>
      </x:c>
      <x:c r="D4" s="73" t="str">
        <x:v>P0</x:v>
      </x:c>
      <x:c r="E4" s="73" t="str">
        <x:v>API</x:v>
      </x:c>
      <x:c r="F4" s="73" t="str">
        <x:v>准备当前诊断分段的已答、跳过和未查看题目</x:v>
      </x:c>
      <x:c r="G4" s="73" t="str">
        <x:v>主动完成；到时完成；全答/部分未答；重复完成；完成请求并发</x:v>
      </x:c>
      <x:c r="H4" s="73" t="str">
        <x:v>1. 读取当前阶段和答案基线
2. 按参数完成当前分段
3. 读取锁定答案、未答状态和新阶段
4. 重试完成并尝试保存旧分段
5. 清理记录</x:v>
      </x:c>
      <x:c r="I4" s="73" t="str">
        <x:v>当前分段完整快照一次性锁定；未答保持未答；重复完成幂等；锁定后旧答案不可修改。</x:v>
      </x:c>
      <x:c r="J4" s="73" t="str">
        <x:v>api/tests/diagnostic/module-complete-lock.spec.ts</x:v>
      </x:c>
      <x:c r="K4" s="75" t="str">
        <x:v>待实现</x:v>
      </x:c>
      <x:c r="L4" s="76" t="str">
        <x:v>未执行</x:v>
      </x:c>
      <x:c r="M4" s="75"/>
      <x:c r="N4" s="75"/>
      <x:c r="O4" s="75"/>
      <x:c r="P4" s="75"/>
      <x:c r="Q4" s="75"/>
      <x:c r="R4" s="75"/>
    </x:row>
    <x:row r="5" ht="78" customHeight="1">
      <x:c r="A5" s="74" t="str">
        <x:v>AUT-ANS-DIAG-002</x:v>
      </x:c>
      <x:c r="B5" s="74" t="str">
        <x:v>诊断分段与提交</x:v>
      </x:c>
      <x:c r="C5" s="74" t="str">
        <x:v>ESAT与TMUA下一阶段状态矩阵</x:v>
      </x:c>
      <x:c r="D5" s="74" t="str">
        <x:v>P0</x:v>
      </x:c>
      <x:c r="E5" s="74" t="str">
        <x:v>API</x:v>
      </x:c>
      <x:c r="F5" s="74" t="str">
        <x:v>准备ESAT三科和TMUA双卷合法结构</x:v>
      </x:c>
      <x:c r="G5" s="74" t="str">
        <x:v>ESAT科1/科2/科3完成；休息自然结束/跳过；TMUA P1/P2完成</x:v>
      </x:c>
      <x:c r="H5" s="74" t="str">
        <x:v>1. 建立对应当前阶段
2. 完成分段或休息操作
3. 读取新阶段、当前索引和截止时间
4. 刷新恢复并重复操作
5. 清理记录</x:v>
      </x:c>
      <x:c r="I5" s="74" t="str">
        <x:v>ESAT前两科进入休息、第三科待提交；TMUA P1直接P2且无休息、P2待提交；重复请求不跳段。</x:v>
      </x:c>
      <x:c r="J5" s="74" t="str">
        <x:v>api/tests/diagnostic/next-phase-matrix.spec.ts</x:v>
      </x:c>
      <x:c r="K5" s="75" t="str">
        <x:v>待实现</x:v>
      </x:c>
      <x:c r="L5" s="76" t="str">
        <x:v>未执行</x:v>
      </x:c>
      <x:c r="M5" s="75"/>
      <x:c r="N5" s="75"/>
      <x:c r="O5" s="75"/>
      <x:c r="P5" s="75"/>
      <x:c r="Q5" s="75"/>
      <x:c r="R5" s="75"/>
    </x:row>
    <x:row r="6" ht="78" customHeight="1">
      <x:c r="A6" s="73" t="str">
        <x:v>AUT-ANS-DIAG-003</x:v>
      </x:c>
      <x:c r="B6" s="73" t="str">
        <x:v>诊断分段与提交</x:v>
      </x:c>
      <x:c r="C6" s="73" t="str">
        <x:v>时间到只结束当前诊断分段</x:v>
      </x:c>
      <x:c r="D6" s="73" t="str">
        <x:v>P0</x:v>
      </x:c>
      <x:c r="E6" s="73" t="str">
        <x:v>混合</x:v>
      </x:c>
      <x:c r="F6" s="73" t="str">
        <x:v>假时钟；准备各诊断分段即将到期</x:v>
      </x:c>
      <x:c r="G6" s="73" t="str">
        <x:v>ESAT科1/2/3；TMUA P1/P2；时间到事件重复；刷新后发现已到期</x:v>
      </x:c>
      <x:c r="H6" s="73" t="str">
        <x:v>1. 记录当前分段和未答题
2. 推进越过截止并触发页面时间到
3. 读取锁定范围和下一阶段
4. 尝试访问或改答旧分段
5. 重放事件并清理</x:v>
      </x:c>
      <x:c r="I6" s="73" t="str">
        <x:v>只锁定当前分段，不提前提交整场；按考试结构进入休息、下一段或待提交；重复时间到不重复推进。</x:v>
      </x:c>
      <x:c r="J6" s="73" t="str">
        <x:v>quiz-web/e2e/diagnostic/module-expiry-transition.spec.ts</x:v>
      </x:c>
      <x:c r="K6" s="75" t="str">
        <x:v>待实现</x:v>
      </x:c>
      <x:c r="L6" s="76" t="str">
        <x:v>未执行</x:v>
      </x:c>
      <x:c r="M6" s="75"/>
      <x:c r="N6" s="75"/>
      <x:c r="O6" s="75"/>
      <x:c r="P6" s="75"/>
      <x:c r="Q6" s="75"/>
      <x:c r="R6" s="75"/>
    </x:row>
    <x:row r="7" ht="78" customHeight="1">
      <x:c r="A7" s="74" t="str">
        <x:v>AUT-ANS-DIAG-004</x:v>
      </x:c>
      <x:c r="B7" s="74" t="str">
        <x:v>诊断分段与提交</x:v>
      </x:c>
      <x:c r="C7" s="74" t="str">
        <x:v>最终提交只信任服务端锁定答案</x:v>
      </x:c>
      <x:c r="D7" s="74" t="str">
        <x:v>P0</x:v>
      </x:c>
      <x:c r="E7" s="74" t="str">
        <x:v>API</x:v>
      </x:c>
      <x:c r="F7" s="74" t="str">
        <x:v>所有分段已锁定；准备与服务端不同的客户端旧答案快照</x:v>
      </x:c>
      <x:c r="G7" s="74" t="str">
        <x:v>空响应；伪造旧答案；漏题；重复提交；响应丢失；两个窗口提交</x:v>
      </x:c>
      <x:c r="H7" s="74" t="str">
        <x:v>1. 读取服务端锁定答案与统计基线
2. 按参数执行最终提交
3. 读取判分、逐题结果和报告任务
4. 重试或并发提交
5. 清理记录</x:v>
      </x:c>
      <x:c r="I7" s="74" t="str">
        <x:v>最终判分只使用服务端锁定答案；客户端旧快照不能覆盖；整场只提交一次且只创建一个报告任务。</x:v>
      </x:c>
      <x:c r="J7" s="74" t="str">
        <x:v>api/tests/diagnostic/final-submit-server-answers.spec.ts</x:v>
      </x:c>
      <x:c r="K7" s="75" t="str">
        <x:v>待实现</x:v>
      </x:c>
      <x:c r="L7" s="76" t="str">
        <x:v>未执行</x:v>
      </x:c>
      <x:c r="M7" s="75"/>
      <x:c r="N7" s="75"/>
      <x:c r="O7" s="75"/>
      <x:c r="P7" s="75"/>
      <x:c r="Q7" s="75"/>
      <x:c r="R7" s="75"/>
    </x:row>
    <x:row r="8" ht="78" customHeight="1">
      <x:c r="A8" s="73" t="str">
        <x:v>AUT-ANS-DIAG-005</x:v>
      </x:c>
      <x:c r="B8" s="73" t="str">
        <x:v>诊断分段与提交</x:v>
      </x:c>
      <x:c r="C8" s="73" t="str">
        <x:v>待提交失败恢复与报告状态</x:v>
      </x:c>
      <x:c r="D8" s="73" t="str">
        <x:v>P0</x:v>
      </x:c>
      <x:c r="E8" s="73" t="str">
        <x:v>混合</x:v>
      </x:c>
      <x:c r="F8" s="73" t="str">
        <x:v>准备全部分段完成记录；可注入最终提交失败和报告排队/失败</x:v>
      </x:c>
      <x:c r="G8" s="73" t="str">
        <x:v>提交500/超时/成功；报告排队/生成中/失败/完成；刷新；重试</x:v>
      </x:c>
      <x:c r="H8" s="73" t="str">
        <x:v>1. 触发最终提交并注入参数状态
2. 读取页面可操作入口和分段编辑状态
3. 刷新或重新进入诊断
4. 重试提交或查看报告
5. 清理故障</x:v>
      </x:c>
      <x:c r="I8" s="73" t="str">
        <x:v>提交失败保持待提交且分段锁定，只能重试；提交成功后不回退；报告状态独立展示，失败不把考试改为未交卷。</x:v>
      </x:c>
      <x:c r="J8" s="73" t="str">
        <x:v>quiz-web/e2e/diagnostic/ready-submit-report-state.spec.ts</x:v>
      </x:c>
      <x:c r="K8" s="75" t="str">
        <x:v>待实现</x:v>
      </x:c>
      <x:c r="L8" s="76" t="str">
        <x:v>未执行</x:v>
      </x:c>
      <x:c r="M8" s="75"/>
      <x:c r="N8" s="75"/>
      <x:c r="O8" s="75"/>
      <x:c r="P8" s="75"/>
      <x:c r="Q8" s="75"/>
      <x:c r="R8" s="75"/>
    </x:row>
    <x:row r="9" ht="78" customHeight="1">
      <x:c r="A9" s="74" t="str">
        <x:v>AUT-ANS-DIAG-006</x:v>
      </x:c>
      <x:c r="B9" s="74" t="str">
        <x:v>诊断分段与提交</x:v>
      </x:c>
      <x:c r="C9" s="74" t="str">
        <x:v>多窗口分段切换与旧页面冲突收敛</x:v>
      </x:c>
      <x:c r="D9" s="74" t="str">
        <x:v>P0</x:v>
      </x:c>
      <x:c r="E9" s="74" t="str">
        <x:v>混合</x:v>
      </x:c>
      <x:c r="F9" s="74" t="str">
        <x:v>同一诊断打开窗口A/B；可延迟B的保存和暂停请求</x:v>
      </x:c>
      <x:c r="G9" s="74" t="str">
        <x:v>A完成/B保存；A跳过休息/B恢复旧休息；A最终提交/B改答；请求乱序</x:v>
      </x:c>
      <x:c r="H9" s="74" t="str">
        <x:v>1. 两窗口读取同一初始阶段
2. 窗口A推进业务阶段
3. 窗口B发送旧阶段操作
4. 两窗口重新读取服务端状态
5. 核对答案与阶段后清理</x:v>
      </x:c>
      <x:c r="I9" s="74" t="str">
        <x:v>旧窗口请求不能回退阶段或覆盖锁定答案；冲突窗口停止编辑并刷新到真实阶段；终态唯一。</x:v>
      </x:c>
      <x:c r="J9" s="74" t="str">
        <x:v>quiz-web/e2e/diagnostic/multi-window-phase-conflict.spec.ts</x:v>
      </x:c>
      <x:c r="K9" s="75" t="str">
        <x:v>待实现</x:v>
      </x:c>
      <x:c r="L9" s="76" t="str">
        <x:v>未执行</x:v>
      </x:c>
      <x:c r="M9" s="75"/>
      <x:c r="N9" s="75"/>
      <x:c r="O9" s="75"/>
      <x:c r="P9" s="75"/>
      <x:c r="Q9" s="75"/>
      <x:c r="R9" s="75"/>
    </x:row>
  </x:sheetData>
  <x:mergeCells>
    <x:mergeCell ref="A1:R1"/>
    <x:mergeCell ref="A2:R2"/>
  </x:mergeCells>
  <x:conditionalFormatting sqref="D4:D9">
    <x:cfRule type="containsText" dxfId="75" priority="1" operator="containsText" text="P0"/>
    <x:cfRule type="containsText" dxfId="76" priority="2" operator="containsText" text="P1"/>
  </x:conditionalFormatting>
  <x:conditionalFormatting sqref="L4:L9">
    <x:cfRule type="containsText" dxfId="77" priority="3" operator="containsText" text="通过"/>
    <x:cfRule type="containsText" dxfId="78" priority="4" operator="containsText" text="失败"/>
    <x:cfRule type="containsText" dxfId="79" priority="5" operator="containsText" text="阻塞"/>
  </x:conditionalFormatting>
  <x:conditionalFormatting sqref="M4:M9">
    <x:cfRule type="containsText" dxfId="80" priority="6" operator="containsText" text="是"/>
    <x:cfRule type="containsText" dxfId="81" priority="7" operator="containsText" text="否"/>
  </x:conditionalFormatting>
  <x:conditionalFormatting sqref="N4:N9">
    <x:cfRule type="containsText" dxfId="82" priority="8" operator="containsText" text="阻塞"/>
    <x:cfRule type="containsText" dxfId="83" priority="9" operator="containsText" text="高"/>
  </x:conditionalFormatting>
  <x:conditionalFormatting sqref="Q4:Q9">
    <x:cfRule type="containsText" dxfId="84" priority="10" operator="containsText" text="已完成"/>
  </x:conditionalFormatting>
  <x:conditionalFormatting sqref="R4:R9">
    <x:cfRule type="containsText" dxfId="85" priority="11" operator="containsText" text="通过"/>
    <x:cfRule type="containsText" dxfId="86" priority="12" operator="containsText" text="不通过"/>
  </x:conditionalFormatting>
  <x:conditionalFormatting sqref="K4:K9">
    <x:cfRule type="containsText" dxfId="87" priority="13" operator="containsText" text="已实现"/>
    <x:cfRule type="containsText" dxfId="88" priority="14" operator="containsText" text="开发中"/>
    <x:cfRule type="containsText" dxfId="89" priority="15" operator="containsText" text="暂缓"/>
  </x:conditionalFormatting>
  <x:dataValidations count="8">
    <x:dataValidation type="list" sqref="D4:D9">
      <x:formula1>"P0,P1,P2,P3"</x:formula1>
    </x:dataValidation>
    <x:dataValidation type="list" sqref="E4:E9">
      <x:formula1>"API,UI,混合"</x:formula1>
    </x:dataValidation>
    <x:dataValidation type="list" sqref="K4:K9">
      <x:formula1>"待实现,开发中,已实现,暂缓"</x:formula1>
    </x:dataValidation>
    <x:dataValidation type="list" sqref="L4:L9">
      <x:formula1>"未执行,通过,失败,阻塞,不适用"</x:formula1>
    </x:dataValidation>
    <x:dataValidation type="list" sqref="M4:M9">
      <x:formula1>"是,否"</x:formula1>
    </x:dataValidation>
    <x:dataValidation type="list" sqref="N4:N9">
      <x:formula1>"阻塞,高,中,低,轻微"</x:formula1>
    </x:dataValidation>
    <x:dataValidation type="list" sqref="Q4:Q9">
      <x:formula1>"已完成,待讨论,暂不修复"</x:formula1>
    </x:dataValidation>
    <x:dataValidation type="list" sqref="R4:R9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a03f9ba21641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1" hidden="0" customWidth="1"/>
    <x:col min="4" max="4" width="9" hidden="0" customWidth="1"/>
    <x:col min="5" max="5" width="11" hidden="0" customWidth="1"/>
    <x:col min="6" max="6" width="28" hidden="0" customWidth="1"/>
    <x:col min="7" max="7" width="32" hidden="0" customWidth="1"/>
    <x:col min="8" max="8" width="40" hidden="0" customWidth="1"/>
    <x:col min="9" max="9" width="44" hidden="0" customWidth="1"/>
    <x:col min="10" max="10" width="36" hidden="0" customWidth="1"/>
    <x:col min="11" max="11" width="12" hidden="0" customWidth="1"/>
    <x:col min="12" max="12" width="12" hidden="0" customWidth="1"/>
    <x:col min="13" max="13" width="11" hidden="0" customWidth="1"/>
    <x:col min="14" max="14" width="11" hidden="0" customWidth="1"/>
    <x:col min="15" max="15" width="28" hidden="0" customWidth="1"/>
    <x:col min="16" max="16" width="23" hidden="0" customWidth="1"/>
    <x:col min="17" max="17" width="12" hidden="0" customWidth="1"/>
    <x:col min="18" max="18" width="12" hidden="0" customWidth="1"/>
  </x:cols>
  <x:sheetData>
    <x:row r="1" ht="27" customHeight="1">
      <x:c r="A1" s="61" t="str">
        <x:v>4.6 在线答题自动化测试用例｜异常与边界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</x:row>
    <x:row r="2" ht="20" customHeight="1">
      <x:c r="A2" s="63" t="str">
        <x:v>来源：文档/4-需求文档/4.6 在线答题.md　｜　范围：参数化规则、状态机、并发、时序与故障注入　｜　异常与边界：4 条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</x:row>
    <x:row r="3" ht="28" customHeight="1">
      <x:c r="A3" s="68" t="str">
        <x:v>用例编号</x:v>
      </x:c>
      <x:c r="B3" s="68" t="str">
        <x:v>功能模块</x:v>
      </x:c>
      <x:c r="C3" s="68" t="str">
        <x:v>用例标题</x:v>
      </x:c>
      <x:c r="D3" s="68" t="str">
        <x:v>优先级</x:v>
      </x:c>
      <x:c r="E3" s="68" t="str">
        <x:v>自动化层级</x:v>
      </x:c>
      <x:c r="F3" s="68" t="str">
        <x:v>前置数据/Mock</x:v>
      </x:c>
      <x:c r="G3" s="68" t="str">
        <x:v>参数化测试数据</x:v>
      </x:c>
      <x:c r="H3" s="68" t="str">
        <x:v>自动化步骤</x:v>
      </x:c>
      <x:c r="I3" s="68" t="str">
        <x:v>断言</x:v>
      </x:c>
      <x:c r="J3" s="68" t="str">
        <x:v>建议脚本路径</x:v>
      </x:c>
      <x:c r="K3" s="68" t="str">
        <x:v>脚本状态</x:v>
      </x:c>
      <x:c r="L3" s="68" t="str">
        <x:v>执行状态</x:v>
      </x:c>
      <x:c r="M3" s="68" t="str">
        <x:v>是否通过</x:v>
      </x:c>
      <x:c r="N3" s="68" t="str">
        <x:v>缺陷等级</x:v>
      </x:c>
      <x:c r="O3" s="68" t="str">
        <x:v>实际结果</x:v>
      </x:c>
      <x:c r="P3" s="68" t="str">
        <x:v>备注</x:v>
      </x:c>
      <x:c r="Q3" s="68" t="str">
        <x:v>修复情况</x:v>
      </x:c>
      <x:c r="R3" s="68" t="str">
        <x:v>回归情况</x:v>
      </x:c>
    </x:row>
    <x:row r="4" ht="78" customHeight="1">
      <x:c r="A4" s="73" t="str">
        <x:v>AUT-ANS-ERR-001</x:v>
      </x:c>
      <x:c r="B4" s="73" t="str">
        <x:v>异常与边界</x:v>
      </x:c>
      <x:c r="C4" s="73" t="str">
        <x:v>答题页加载状态与错误映射矩阵</x:v>
      </x:c>
      <x:c r="D4" s="73" t="str">
        <x:v>P0</x:v>
      </x:c>
      <x:c r="E4" s="73" t="str">
        <x:v>混合</x:v>
      </x:c>
      <x:c r="F4" s="73" t="str">
        <x:v>Mock 加载延迟、空题、无权限、会话不存在、已提交、网络和服务端错误</x:v>
      </x:c>
      <x:c r="G4" s="73" t="str">
        <x:v>延迟；成功0题；401/403/404/409/500；断网；重试成功</x:v>
      </x:c>
      <x:c r="H4" s="73" t="str">
        <x:v>1. 按参数打开答题页并读取初始状态
2. 检查题目和操作是否开放
3. 对可恢复错误点击重试
4. 读取记录数量和最终路由
5. 恢复Mock</x:v>
      </x:c>
      <x:c r="I4" s="73" t="str">
        <x:v>加载、空态和各错误可区分；失败不伪装为空且不创建新记录；已提交不开放编辑；重试成功恢复原记录。</x:v>
      </x:c>
      <x:c r="J4" s="73" t="str">
        <x:v>quiz-web/e2e/answering/load-state-matrix.spec.ts</x:v>
      </x:c>
      <x:c r="K4" s="75" t="str">
        <x:v>待实现</x:v>
      </x:c>
      <x:c r="L4" s="76" t="str">
        <x:v>未执行</x:v>
      </x:c>
      <x:c r="M4" s="75"/>
      <x:c r="N4" s="75"/>
      <x:c r="O4" s="75"/>
      <x:c r="P4" s="75" t="str">
        <x:v>当前实现待对齐：普通练习失败态与空态需要拆分。</x:v>
      </x:c>
      <x:c r="Q4" s="75"/>
      <x:c r="R4" s="75"/>
    </x:row>
    <x:row r="5" ht="78" customHeight="1">
      <x:c r="A5" s="74" t="str">
        <x:v>AUT-ANS-ERR-002</x:v>
      </x:c>
      <x:c r="B5" s="74" t="str">
        <x:v>异常与边界</x:v>
      </x:c>
      <x:c r="C5" s="74" t="str">
        <x:v>提交态全交互锁定矩阵</x:v>
      </x:c>
      <x:c r="D5" s="74" t="str">
        <x:v>P0</x:v>
      </x:c>
      <x:c r="E5" s="74" t="str">
        <x:v>UI</x:v>
      </x:c>
      <x:c r="F5" s="74" t="str">
        <x:v>延迟普通练习提交和诊断分段切换响应</x:v>
      </x:c>
      <x:c r="G5" s="74" t="str">
        <x:v>选项；上一/下一题；题号；返回；重复结束；键盘触发；浏览器后退</x:v>
      </x:c>
      <x:c r="H5" s="74" t="str">
        <x:v>1. 触发提交或分段切换并保持请求未完成
2. 逐项执行参数化交互
3. 读取答案、路由和请求数量
4. 释放成功或失败响应
5. 核对最终可编辑状态</x:v>
      </x:c>
      <x:c r="I5" s="74" t="str">
        <x:v>处理中所有改变答案、位置或终态的操作被阻止；只发一条终态请求；失败后按规则恢复，成功后保持锁定。</x:v>
      </x:c>
      <x:c r="J5" s="74" t="str">
        <x:v>quiz-web/e2e/answering/submitting-interaction-lock.spec.ts</x:v>
      </x:c>
      <x:c r="K5" s="75" t="str">
        <x:v>待实现</x:v>
      </x:c>
      <x:c r="L5" s="76" t="str">
        <x:v>未执行</x:v>
      </x:c>
      <x:c r="M5" s="75"/>
      <x:c r="N5" s="75"/>
      <x:c r="O5" s="75"/>
      <x:c r="P5" s="75" t="str">
        <x:v>当前实现待对齐：普通练习提交态尚未完全锁定。</x:v>
      </x:c>
      <x:c r="Q5" s="75"/>
      <x:c r="R5" s="75"/>
    </x:row>
    <x:row r="6" ht="78" customHeight="1">
      <x:c r="A6" s="73" t="str">
        <x:v>AUT-ANS-ERR-003</x:v>
      </x:c>
      <x:c r="B6" s="73" t="str">
        <x:v>异常与边界</x:v>
      </x:c>
      <x:c r="C6" s="73" t="str">
        <x:v>未交付题型与仿真模式不可达</x:v>
      </x:c>
      <x:c r="D6" s="73" t="str">
        <x:v>P1</x:v>
      </x:c>
      <x:c r="E6" s="73" t="str">
        <x:v>混合</x:v>
      </x:c>
      <x:c r="F6" s="73" t="str">
        <x:v>准备单选以外题型数据、仿真模式参数和可能的直接路由</x:v>
      </x:c>
      <x:c r="G6" s="73" t="str">
        <x:v>多选/填空/主观；mock-exam参数；猜测路由；普通单选对照</x:v>
      </x:c>
      <x:c r="H6" s="73" t="str">
        <x:v>1. 按参数尝试从学生导航和直接地址进入
2. 请求开始或恢复对应模式
3. 读取页面、错误提示和新增记录
4. 执行普通单选对照组
5. 清理数据</x:v>
      </x:c>
      <x:c r="I6" s="73" t="str">
        <x:v>未交付题型和仿真考试没有正式入口或可创建闭环，不误导为可用；普通单选保持可用。</x:v>
      </x:c>
      <x:c r="J6" s="73" t="str">
        <x:v>api/tests/exam/unsupported-mode-boundary.spec.ts</x:v>
      </x:c>
      <x:c r="K6" s="75" t="str">
        <x:v>待实现</x:v>
      </x:c>
      <x:c r="L6" s="76" t="str">
        <x:v>未执行</x:v>
      </x:c>
      <x:c r="M6" s="75"/>
      <x:c r="N6" s="75"/>
      <x:c r="O6" s="75"/>
      <x:c r="P6" s="75"/>
      <x:c r="Q6" s="75"/>
      <x:c r="R6" s="75"/>
    </x:row>
    <x:row r="7" ht="78" customHeight="1">
      <x:c r="A7" s="74" t="str">
        <x:v>AUT-ANS-ERR-004</x:v>
      </x:c>
      <x:c r="B7" s="74" t="str">
        <x:v>异常与边界</x:v>
      </x:c>
      <x:c r="C7" s="74" t="str">
        <x:v>会话失效期间保存和提交安全停止</x:v>
      </x:c>
      <x:c r="D7" s="74" t="str">
        <x:v>P0</x:v>
      </x:c>
      <x:c r="E7" s="74" t="str">
        <x:v>混合</x:v>
      </x:c>
      <x:c r="F7" s="74" t="str">
        <x:v>准备进行中练习与诊断；可在保存、暂停和提交前使登录会话失效</x:v>
      </x:c>
      <x:c r="G7" s="74" t="str">
        <x:v>选择后失效；返回前失效；提交前失效；刷新后失效；重新登录原账号/其他账号</x:v>
      </x:c>
      <x:c r="H7" s="74" t="str">
        <x:v>1. 建立进行中记录并保存基线答案
2. 使会话失效后执行参数操作
3. 读取提示、路由和记录变化
4. 重新登录并尝试继续
5. 切换其他账号验证隔离并清理</x:v>
      </x:c>
      <x:c r="I7" s="74" t="str">
        <x:v>失效后停止私有操作并进入统一登录流程；不会把未确认内容写入他人记录；原账号重新登录可按最后成功保存继续，其他账号不可见。</x:v>
      </x:c>
      <x:c r="J7" s="74" t="str">
        <x:v>quiz-web/e2e/answering/session-expiry-recovery.spec.ts</x:v>
      </x:c>
      <x:c r="K7" s="75" t="str">
        <x:v>待实现</x:v>
      </x:c>
      <x:c r="L7" s="76" t="str">
        <x:v>未执行</x:v>
      </x:c>
      <x:c r="M7" s="75"/>
      <x:c r="N7" s="75"/>
      <x:c r="O7" s="75"/>
      <x:c r="P7" s="75"/>
      <x:c r="Q7" s="75"/>
      <x:c r="R7" s="75"/>
    </x:row>
  </x:sheetData>
  <x:mergeCells>
    <x:mergeCell ref="A1:R1"/>
    <x:mergeCell ref="A2:R2"/>
  </x:mergeCells>
  <x:conditionalFormatting sqref="D4:D7">
    <x:cfRule type="containsText" dxfId="90" priority="1" operator="containsText" text="P0"/>
    <x:cfRule type="containsText" dxfId="91" priority="2" operator="containsText" text="P1"/>
  </x:conditionalFormatting>
  <x:conditionalFormatting sqref="L4:L7">
    <x:cfRule type="containsText" dxfId="92" priority="3" operator="containsText" text="通过"/>
    <x:cfRule type="containsText" dxfId="93" priority="4" operator="containsText" text="失败"/>
    <x:cfRule type="containsText" dxfId="94" priority="5" operator="containsText" text="阻塞"/>
  </x:conditionalFormatting>
  <x:conditionalFormatting sqref="M4:M7">
    <x:cfRule type="containsText" dxfId="95" priority="6" operator="containsText" text="是"/>
    <x:cfRule type="containsText" dxfId="96" priority="7" operator="containsText" text="否"/>
  </x:conditionalFormatting>
  <x:conditionalFormatting sqref="N4:N7">
    <x:cfRule type="containsText" dxfId="97" priority="8" operator="containsText" text="阻塞"/>
    <x:cfRule type="containsText" dxfId="98" priority="9" operator="containsText" text="高"/>
  </x:conditionalFormatting>
  <x:conditionalFormatting sqref="Q4:Q7">
    <x:cfRule type="containsText" dxfId="99" priority="10" operator="containsText" text="已完成"/>
  </x:conditionalFormatting>
  <x:conditionalFormatting sqref="R4:R7">
    <x:cfRule type="containsText" dxfId="100" priority="11" operator="containsText" text="通过"/>
    <x:cfRule type="containsText" dxfId="101" priority="12" operator="containsText" text="不通过"/>
  </x:conditionalFormatting>
  <x:conditionalFormatting sqref="K4:K7">
    <x:cfRule type="containsText" dxfId="102" priority="13" operator="containsText" text="已实现"/>
    <x:cfRule type="containsText" dxfId="103" priority="14" operator="containsText" text="开发中"/>
    <x:cfRule type="containsText" dxfId="104" priority="15" operator="containsText" text="暂缓"/>
  </x:conditionalFormatting>
  <x:dataValidations count="8">
    <x:dataValidation type="list" sqref="D4:D7">
      <x:formula1>"P0,P1,P2,P3"</x:formula1>
    </x:dataValidation>
    <x:dataValidation type="list" sqref="E4:E7">
      <x:formula1>"API,UI,混合"</x:formula1>
    </x:dataValidation>
    <x:dataValidation type="list" sqref="K4:K7">
      <x:formula1>"待实现,开发中,已实现,暂缓"</x:formula1>
    </x:dataValidation>
    <x:dataValidation type="list" sqref="L4:L7">
      <x:formula1>"未执行,通过,失败,阻塞,不适用"</x:formula1>
    </x:dataValidation>
    <x:dataValidation type="list" sqref="M4:M7">
      <x:formula1>"是,否"</x:formula1>
    </x:dataValidation>
    <x:dataValidation type="list" sqref="N4:N7">
      <x:formula1>"阻塞,高,中,低,轻微"</x:formula1>
    </x:dataValidation>
    <x:dataValidation type="list" sqref="Q4:Q7">
      <x:formula1>"已完成,待讨论,暂不修复"</x:formula1>
    </x:dataValidation>
    <x:dataValidation type="list" sqref="R4:R7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f32f3d420f4a6f"/>
  </x:tableParts>
</x:worksheet>
</file>