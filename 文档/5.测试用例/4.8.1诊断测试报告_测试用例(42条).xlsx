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6"/>
  </bookViews>
  <sheets>
    <sheet name="测试说明" sheetId="1" r:id="rId1"/>
    <sheet name="报告生成与状态" sheetId="2" r:id="rId2"/>
    <sheet name="ESAT报告" sheetId="3" r:id="rId3"/>
    <sheet name="TMUA报告" sheetId="4" r:id="rId4"/>
    <sheet name="公共分析模块" sheetId="5" r:id="rId5"/>
    <sheet name="学习路径与题目解析" sheetId="6" r:id="rId6"/>
    <sheet name="历史升级与权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<sst xmlns="http://schemas.openxmlformats.org/spreadsheetml/2006/main" count="607" uniqueCount="325">
  <si>
    <t>4.8.1 诊断测试报告人工测试用例</t>
  </si>
  <si>
    <t>本轮人工P0：覆盖报告生成、ESAT/TMUA差异、公共分析、学习路径、题目解析、历史升级和权限保护</t>
  </si>
  <si>
    <t>文档版本</t>
  </si>
  <si>
    <t>当前版（2026-08-09）</t>
  </si>
  <si>
    <t>生成日期</t>
  </si>
  <si>
    <t>用例总数</t>
  </si>
  <si>
    <t>需求来源</t>
  </si>
  <si>
    <t>文档/4-需求文档/4.8.1 诊断测试报告.md</t>
  </si>
  <si>
    <t>默认状态</t>
  </si>
  <si>
    <t>未执行</t>
  </si>
  <si>
    <t>关联规则</t>
  </si>
  <si>
    <t>4.8诊断测试、4.3个人中心、ESAT计分规则、TMUA计分规则；以报告可观察行为为主</t>
  </si>
  <si>
    <t>模块覆盖统计</t>
  </si>
  <si>
    <t>模块</t>
  </si>
  <si>
    <t>用例数</t>
  </si>
  <si>
    <t>P0</t>
  </si>
  <si>
    <t>是否通过-是</t>
  </si>
  <si>
    <t>是否通过-否</t>
  </si>
  <si>
    <t>严重缺陷</t>
  </si>
  <si>
    <t>已完成修复</t>
  </si>
  <si>
    <t>回归通过</t>
  </si>
  <si>
    <t>报告生成与状态</t>
  </si>
  <si>
    <t>ESAT报告</t>
  </si>
  <si>
    <t>TMUA报告</t>
  </si>
  <si>
    <t>公共分析模块</t>
  </si>
  <si>
    <t>学习路径与题目解析</t>
  </si>
  <si>
    <t>历史升级与权限</t>
  </si>
  <si>
    <t>合计</t>
  </si>
  <si>
    <t>使用说明</t>
  </si>
  <si>
    <t>执行方式</t>
  </si>
  <si>
    <t>使用真实浏览器按编号步骤执行；需要失败或降级状态的用例使用预先准备的测试数据，不要求测试人员修改接口或数据库。</t>
  </si>
  <si>
    <t>数据准备</t>
  </si>
  <si>
    <t>准备ESAT/TMUA正常、失败、规则降级、旧版本、资料完整/缺失、不同知识点映射和多次测试样本。</t>
  </si>
  <si>
    <t>当前实现待对齐</t>
  </si>
  <si>
    <t>交卷弹窗百分比为等待反馈动画；报告版本仍由前后端分别维护；相关用例按文档中的当前口径判定并在备注中标识。</t>
  </si>
  <si>
    <t>执行记录</t>
  </si>
  <si>
    <t>执行状态、是否通过、缺陷等级、实际结果、修复情况和回归情况为可编辑列；无缺陷编号列。</t>
  </si>
  <si>
    <t>非目标</t>
  </si>
  <si>
    <t>不覆盖STEP、官方成绩证明、多次报告趋势、学习任务打卡或一键专项练习。</t>
  </si>
  <si>
    <t>4.8.1 诊断测试报告人工测试用例 — 报告生成与状态</t>
  </si>
  <si>
    <t>来源：文档/4-需求文档/4.8.1 诊断测试报告.md｜范围：P0人工回归｜按真实浏览器操作与可观察结果执行</t>
  </si>
  <si>
    <t>用例编号</t>
  </si>
  <si>
    <t>功能模块</t>
  </si>
  <si>
    <t>用例标题</t>
  </si>
  <si>
    <t>优先级</t>
  </si>
  <si>
    <t>用例类型</t>
  </si>
  <si>
    <t>前置条件</t>
  </si>
  <si>
    <t>测试数据</t>
  </si>
  <si>
    <t>操作步骤</t>
  </si>
  <si>
    <t>预期结果</t>
  </si>
  <si>
    <t>执行状态</t>
  </si>
  <si>
    <t>是否通过</t>
  </si>
  <si>
    <t>缺陷等级</t>
  </si>
  <si>
    <t>实际结果</t>
  </si>
  <si>
    <t>备注</t>
  </si>
  <si>
    <t>修复情况</t>
  </si>
  <si>
    <t>回归情况</t>
  </si>
  <si>
    <t>RPT-GEN-001</t>
  </si>
  <si>
    <t>ESAT正式交卷后生成并进入同一次诊断报告</t>
  </si>
  <si>
    <t>流程</t>
  </si>
  <si>
    <t>学生已登录；有一套可完整提交的ESAT诊断；报告服务正常</t>
  </si>
  <si>
    <t>操作前历史次数H、ESAT诊断次数D；本次三个实际模块M1/M2/M3</t>
  </si>
  <si>
    <t>1. 在诊断历史和个人中心记录H、D
2. 开始ESAT诊断并完成M1/M2/M3，正式确认交卷
3. 观察交卷后的分析弹窗并确认答卷已保存
4. 等待服务端状态变为已完成
5. 点击“查看诊断报告”并记录报告对应的提交时间和模块
6. 返回诊断历史和个人中心刷新，再次记录H、D
7. 重新打开本次历史报告</t>
  </si>
  <si>
    <t>正式交卷后H+1、D+1且仅增加一次；分析完成前不能进入半成品报告；完成后进入ESAT报告，报告的提交时间、M1/M2/M3和本次作答一致；重新打开仍为同一报告，查看报告不再次改变H、D。</t>
  </si>
  <si>
    <t>是</t>
  </si>
  <si>
    <t>RPT-GEN-002</t>
  </si>
  <si>
    <t>TMUA正式交卷后生成并进入同一次诊断报告</t>
  </si>
  <si>
    <t>学生已登录；有一套可完整提交的TMUA双卷；报告服务正常</t>
  </si>
  <si>
    <t>操作前历史次数H、TMUA诊断次数D；Paper 1/Paper 2</t>
  </si>
  <si>
    <t>1. 在诊断历史和个人中心记录H、D
2. 完成Paper 1和Paper 2并正式确认交卷
3. 观察分析弹窗从答卷已保存进入已完成
4. 点击“查看诊断报告”
5. 核对报告类型、提交时间和两个Paper
6. 返回历史记录刷新并再次打开本次报告</t>
  </si>
  <si>
    <t>正式交卷后H+1、D+1；完成后进入TMUA而非ESAT报告；报告绑定本次Paper 1/Paper 2作答；历史记录可再次进入同一报告且不会新增测试或使用量。</t>
  </si>
  <si>
    <t>RPT-GEN-003</t>
  </si>
  <si>
    <t>分析中关闭弹窗后从历史记录继续查看真实状态</t>
  </si>
  <si>
    <t>已正式交卷；报告任务处于待生成或分析中</t>
  </si>
  <si>
    <t>记录本次提交时间S、历史次数H、诊断次数D</t>
  </si>
  <si>
    <t>1. 交卷后在分析弹窗记录任务状态和页面百分比
2. 在任务未完成时关闭弹窗并返回诊断首页
3. 打开历史记录，按S找到本次记录
4. 记录历史中的真实任务状态和进度
5. 等待任务完成后刷新该条历史记录
6. 点击完成状态进入报告</t>
  </si>
  <si>
    <t>关闭弹窗不取消任务；历史记录始终指向S对应任务并显示真实状态，未完成前不显示完成；页面弹窗百分比只作为等待反馈，不得被解释为后台实际阶段；完成后H、D保持交卷后的值且可以进入报告。</t>
  </si>
  <si>
    <t>当前实现待对齐：弹窗为等待反馈动画，历史记录为实际任务进度。</t>
  </si>
  <si>
    <t>RPT-GEN-004</t>
  </si>
  <si>
    <t>分析中刷新、退出登录再登录不取消报告任务</t>
  </si>
  <si>
    <t>异常</t>
  </si>
  <si>
    <t>学生已正式交卷；报告正在生成</t>
  </si>
  <si>
    <t>本次提交时间S、历史次数H、诊断次数D</t>
  </si>
  <si>
    <t>1. 在分析中记录S、H、D并刷新页面
2. 返回诊断首页确认本次记录仍处于生成中
3. 退出登录并关闭当前页面
4. 使用同一账号重新登录
5. 从诊断历史按S找到本次记录
6. 等待完成后打开报告并刷新一次</t>
  </si>
  <si>
    <t>刷新、退出登录和关闭页面均不取消后台任务；重新登录后仍是同一条S记录，H、D不重复增加；完成后报告可正常打开并在刷新后保持。</t>
  </si>
  <si>
    <t>RPT-GEN-005</t>
  </si>
  <si>
    <t>报告生成失败后重新分析且不重复计数</t>
  </si>
  <si>
    <t>准备一条已正式提交且报告任务失败的学生记录；页面可见失败原因</t>
  </si>
  <si>
    <t>失败记录提交时间S；操作前历史次数H、诊断次数D</t>
  </si>
  <si>
    <t>1. 在历史记录按S打开失败状态并记录H、D
2. 核对失败原因和“重新分析”入口
3. 点击“重新分析”并观察原记录进入待生成或分析中
4. 再次点击或快速重复操作
5. 等待任务完成并进入报告
6. 返回历史记录和个人中心刷新H、D</t>
  </si>
  <si>
    <t>失败信息清晰且可恢复；重新分析重启原任务，重复操作不创建并行任务；成功后仍为S对应报告；H、D保持操作前值，不新增测试次数或诊断使用量。</t>
  </si>
  <si>
    <t>RPT-GEN-006</t>
  </si>
  <si>
    <t>报告加载失败后可重新加载且不显示为空报告</t>
  </si>
  <si>
    <t>已有完成报告；可临时制造一次报告读取网络失败</t>
  </si>
  <si>
    <t>任一已完成ESAT或TMUA历史报告</t>
  </si>
  <si>
    <t>1. 从历史记录点击“查看报告”
2. 在报告读取阶段制造网络失败
3. 核对页面错误文案和“重新加载”按钮
4. 恢复网络后点击“重新加载”
5. 核对报告标题、分数模块和提交记录
6. 刷新页面再次打开</t>
  </si>
  <si>
    <t>读取失败显示明确错误而不是“暂无报告”或零分报告；恢复后可重新加载完整报告；报告仍绑定原历史记录，刷新后保持可用。</t>
  </si>
  <si>
    <t>RPT-GEN-007</t>
  </si>
  <si>
    <t>智能分析降级时报告仍完成并标识真实来源</t>
  </si>
  <si>
    <t>准备智能分析、混合生成、规则生成三类已完成报告样本</t>
  </si>
  <si>
    <t>样本A=智能分析；B=混合生成；C=规则生成；每份均有可核对正确题数</t>
  </si>
  <si>
    <t>1. 分别从历史记录打开样本A、B、C
2. 记录每份报告的完成状态和分析来源
3. 对照题目解析核对各模块或Paper正确题数
4. 查看诊断总结、提升优先级和学习路径
5. 刷新三份报告再次核对</t>
  </si>
  <si>
    <t>三类样本均可处于已完成；页面准确显示对应分析来源；降级不会改写答案、正确题数、用时或分数事实；规则或混合报告仍提供可读建议且刷新后保持。</t>
  </si>
  <si>
    <t>4.8.1 诊断测试报告人工测试用例 — ESAT报告</t>
  </si>
  <si>
    <t>RPT-ESAT-001</t>
  </si>
  <si>
    <t>ESAT按实际三个模块独立展示且不生成总分</t>
  </si>
  <si>
    <t>校验</t>
  </si>
  <si>
    <t>已有完成的ESAT报告，实际模块为Mathematics 1、Physics、Chemistry</t>
  </si>
  <si>
    <t>三个模块各有不同正确题数和等效评估分</t>
  </si>
  <si>
    <t>1. 从历史记录打开目标ESAT报告
2. 核对等效评估分区域的模块页签
3. 依次切换Mathematics 1、Physics、Chemistry
4. 记录每个模块正确题数和等效评估分
5. 浏览报告头部和总体概览寻找综合总分
6. 刷新后再次切换模块</t>
  </si>
  <si>
    <t>页签只包含本次实际三个模块；每个模块独立展示自己的结果；页面不存在求和、平均或虚构的ESAT总分；刷新后当前报告数据不变。</t>
  </si>
  <si>
    <t>RPT-ESAT-002</t>
  </si>
  <si>
    <t>ESAT模块正确题数、等效分和估计区间可追溯</t>
  </si>
  <si>
    <t>已有完成ESAT报告；题目解析可查看所有题目状态</t>
  </si>
  <si>
    <t>选定模块M；从题目解析人工统计正确数C、总题数T</t>
  </si>
  <si>
    <t>1. 打开报告并选择模块M，记录显示的C/T作为基线
2. 记录1.0—9.0等效评估分和80%估计区间
3. 点击“题目解析”并筛选M
4. 按正确状态人工核对C和T
5. 返回报告重新选择M
6. 查看区间说明和非官方提示，完成本次核对</t>
  </si>
  <si>
    <t>报告C/T与题目解析一致且往返后保持不变；点估计和80%区间同时可见；区间有不确定性说明；页面明确属于平台诊断估算而非官方成绩或录取结论。</t>
  </si>
  <si>
    <t>RPT-ESAT-003</t>
  </si>
  <si>
    <t>ESAT非标准题量显示标准题量折算依据</t>
  </si>
  <si>
    <t>准备至少一个题量不是标准题量的ESAT模块报告</t>
  </si>
  <si>
    <t>模块M：实际正确数C、实际总题数T，T不等于标准题量</t>
  </si>
  <si>
    <t>1. 从历史记录打开该ESAT报告
2. 切换到非标准题量模块M
3. 记录实际C/T
4. 查看等效评估分附近的折算说明
5. 按页面说明核对折算使用正确率并换算到标准题量
6. 切换其他模块再返回M</t>
  </si>
  <si>
    <t>页面保留实际C/T，并明确展示按正确率折算到标准题量的依据；不会把C直接当作标准原始分；切换模块后说明仍对应M。</t>
  </si>
  <si>
    <t>RPT-ESAT-004</t>
  </si>
  <si>
    <t>ESAT参考定位与模块诊断对应当前模块</t>
  </si>
  <si>
    <t>功能</t>
  </si>
  <si>
    <t>已有三个模块表现差异明显的ESAT完成报告</t>
  </si>
  <si>
    <t>模块M1高表现、M2中等、M3较低；分析来源可见</t>
  </si>
  <si>
    <t>1. 打开报告并依次切换M1、M2、M3
2. 记录每个模块的参考分布、表现等级和参考百分位
3. 记录模块诊断总结、相对优势、关键问题和提升重点
4. 核对每个模块的分析来源标识
5. 来回切换模块并比较内容</t>
  </si>
  <si>
    <t>参考定位和诊断内容随当前模块切换且不串用；高、中、低表现说明与对应正确率方向一致；诊断包含要求的四类信息并显示来源；不得表述为官方录取结论。</t>
  </si>
  <si>
    <t>RPT-ESAT-005</t>
  </si>
  <si>
    <t>个人计划科目与实际测试模块不一致时以实际模块为准</t>
  </si>
  <si>
    <t>个人中心计划科目与某份ESAT报告的实际三个模块不一致</t>
  </si>
  <si>
    <t>计划科目P；本次实际模块A，P与A至少一项不同</t>
  </si>
  <si>
    <t>1. 在个人中心记录计划科目P
2. 从历史记录打开实际模块为A的ESAT报告
3. 核对报告顶部科目不一致提示
4. 查看等效评估分页签和总体概览模块
5. 滚动到学习路径并记录计划科目
6. 返回个人中心完成核对，确认P未被报告改写</t>
  </si>
  <si>
    <t>顶部明确提示不一致；分数、概览和学习路径均使用A而非P；个人中心P保持不变；报告不静默混合未参加测试的科目。</t>
  </si>
  <si>
    <t>否</t>
  </si>
  <si>
    <t>和个人中心计划科目无关联</t>
  </si>
  <si>
    <t>RPT-ESAT-006</t>
  </si>
  <si>
    <t>ESAT计分数据不足时局部降级或显示整页空状态</t>
  </si>
  <si>
    <t>准备样本A：一个模块缺少可靠换算但其他模块正常；样本B：无可计分模块</t>
  </si>
  <si>
    <t>样本A、B均为当前账号已提交的测试记录</t>
  </si>
  <si>
    <t>1. 打开样本A并依次查看三个模块，记录正常模块结果作为基线
2. 核对缺少换算的模块提示和其他模块结果
3. 返回历史记录打开样本B
4. 核对整页状态和提示文案
5. 使用浏览器返回历史记录
6. 再次打开一份正常报告并完成核对</t>
  </si>
  <si>
    <t>样本A仅目标模块显示“暂无可靠换算结果”，其他模块结果保持不变并继续展示；样本B明确说明没有可计分模块，不生成虚假零分；异常报告不会影响历史返回和其他正常报告。</t>
  </si>
  <si>
    <t>4.8.1 诊断测试报告人工测试用例 — TMUA报告</t>
  </si>
  <si>
    <t>RPT-TMUA-001</t>
  </si>
  <si>
    <t>TMUA只展示一个综合等效评估分</t>
  </si>
  <si>
    <t>已有完成TMUA报告</t>
  </si>
  <si>
    <t>Paper 1与Paper 2表现不同</t>
  </si>
  <si>
    <t>1. 从历史记录打开TMUA报告
2. 查看报告首个分数区域
3. 记录综合等效评估分和80%估计区间
4. 浏览Paper 1与Paper 2诊断对照
5. 搜索页面是否将单卷参考分称为官方分数
6. 刷新报告再次核对</t>
  </si>
  <si>
    <t>页面只给出一个1.0—9.0综合等效评估分；区间和非官方说明清晰；Paper对照中的参考分只用于诊断比较，不被称为官方单卷成绩。</t>
  </si>
  <si>
    <t>RPT-TMUA-002</t>
  </si>
  <si>
    <t>TMUA两个Paper的作答事实和诊断对照准确</t>
  </si>
  <si>
    <t>已有完成TMUA报告；题目解析可查看全部40题</t>
  </si>
  <si>
    <t>人工统计Paper 1正确数C1、Paper 2正确数C2</t>
  </si>
  <si>
    <t>1. 在报告记录Paper 1和Paper 2的正确题数/总题数作为基线
2. 记录两个Paper的诊断参考分
3. 点击“题目解析”并分别统计C1、C2
4. 返回报告核对正确题数
5. 查看两个Paper的总结、优势、关键问题和提升重点
6. 完成对比并核对内容是否串用</t>
  </si>
  <si>
    <t>两个Paper的正确题数与题目解析一致且往返后保持不变；各自参考分、总结、优势、问题和重点对应本Paper；内容不串用，且参考分不冒充官方单卷成绩。</t>
  </si>
  <si>
    <t>RPT-TMUA-003</t>
  </si>
  <si>
    <t>TMUA评估方法、参考尺度和官方结果边界清晰</t>
  </si>
  <si>
    <t>综合评估分位于任一可观察区间</t>
  </si>
  <si>
    <t>1. 打开报告并定位综合评估分说明
2. 查看平台估算方法和官方联合等值差异说明
3. 查看1.0—9.0尺度、典型候选人及高分段参考
4. 核对当前定位和竞争力说明
5. 点击官方结果参考链接并观察打开目标
6. 返回报告</t>
  </si>
  <si>
    <t>页面明确平台估算不等同于官方联合等值；参考尺度和当前位置可读且不作录取保证；官方链接可正常打开并能安全返回原报告。</t>
  </si>
  <si>
    <t>RPT-TMUA-004</t>
  </si>
  <si>
    <t>TMUA智能诊断缺失时固定综合结果仍可查看</t>
  </si>
  <si>
    <t>准备固定计算完成、部分智能诊断缺失的TMUA报告</t>
  </si>
  <si>
    <t>已知Paper 1/Paper 2正确数和综合评估分</t>
  </si>
  <si>
    <t>1. 从历史记录打开目标TMUA报告并记录固定结果作为基线
2. 核对综合等效评估分和区间
3. 核对Paper 1/Paper 2正确题数与参考分
4. 查看缺失诊断文字区域和来源标识
5. 滚动查看其他公共模块
6. 刷新报告并完成核对</t>
  </si>
  <si>
    <t>固定分数、区间和Paper统计正常展示且刷新后保持不变；缺失智能文字有明确不可用或降级说明，不使整份报告失败；来源标识真实，其他模块仍可浏览。</t>
  </si>
  <si>
    <t>RPT-TMUA-005</t>
  </si>
  <si>
    <t>TMUA学习范围固定为数学且不出现ESAT选科提示</t>
  </si>
  <si>
    <t>个人中心存在ESAT计划科目；已有TMUA完成报告</t>
  </si>
  <si>
    <t>个人中心ESAT科目任意；TMUA Paper 1/Paper 2</t>
  </si>
  <si>
    <t>1. 在个人中心记录当前计划科目
2. 打开TMUA历史报告
3. 查看报告顶部提示区域
4. 查看总体概览的Paper分组
5. 滚动到学习路径并查看计划科目
6. 返回个人中心</t>
  </si>
  <si>
    <t>TMUA报告不出现ESAT计划科目不一致提示；概览按Paper分组；学习路径范围为数学且不混入ESAT科目；个人中心资料不被改写。</t>
  </si>
  <si>
    <t>4.8.1 诊断测试报告人工测试用例 — 公共分析模块</t>
  </si>
  <si>
    <t>RPT-COMMON-001</t>
  </si>
  <si>
    <t>总体概览的模块与难度正确题数可由题目解析核对</t>
  </si>
  <si>
    <t>已有完成报告；题目覆盖低中高难度且题目解析可见</t>
  </si>
  <si>
    <t>选定模块M；人工统计总正确C/T及低中高正确数L/M/H</t>
  </si>
  <si>
    <t>1. 打开报告记录总体概览中M的C/T和正确率作为基线
2. 记录低、中、高难度正确题数/总题数
3. 进入题目解析并按M逐题核对正确状态和难度
4. 汇总人工结果L/M/H
5. 返回总体概览对照
6. 切换另一模块重复抽查并完成核对</t>
  </si>
  <si>
    <t>总体C/T、正确率和各难度统计与本次题目解析一致并保持不变；不同模块或Paper数据不串用；无题难度不伪造数量。</t>
  </si>
  <si>
    <t>RPT-COMMON-002</t>
  </si>
  <si>
    <t>时间效率按实际模块展示有效计时覆盖和建议</t>
  </si>
  <si>
    <t>已有题目停留时间记录完整的完成报告</t>
  </si>
  <si>
    <t>至少两个模块或Paper的作答速度与正确率不同</t>
  </si>
  <si>
    <t>1. 打开报告并滚动到模块时间效率
2. 记录各模块有效计时覆盖题数
3. 记录相对目标节奏和当前正确率
4. 对比快但低正确率与慢但高正确率模块的建议
5. 切换ESAT和TMUA样本分别核对分组名称
6. 刷新页面</t>
  </si>
  <si>
    <t>时间效率按实际模块或Paper展示；覆盖题数、正确率和节奏信息可读；建议同时考虑速度和准确率，不用一个模块数据代替另一个模块。</t>
  </si>
  <si>
    <t>RPT-COMMON-003</t>
  </si>
  <si>
    <t>缺少可靠停留时间时显示样本不足且不虚构结论</t>
  </si>
  <si>
    <t>准备部分题目缺少停留时间的完成报告</t>
  </si>
  <si>
    <t>模块M有效计时覆盖少于总题数T</t>
  </si>
  <si>
    <t>1. 打开报告并记录M总题数T
2. 滚动到时间效率区域
3. 记录有效计时覆盖题数E
4. 查看样本不足提示和节奏结论
5. 对照另一个计时完整模块
6. 刷新后再次核对</t>
  </si>
  <si>
    <t>页面显示E且E小于T，并明确样本不足；缺失时间不按0秒参与评价，也不生成虚假精确节奏结论；其他完整模块正常展示。</t>
  </si>
  <si>
    <t>RPT-COMMON-004</t>
  </si>
  <si>
    <t>知识点掌握度按模块、主题和三级知识点逐层展开</t>
  </si>
  <si>
    <t>报告题目已映射二级主题和三级知识点</t>
  </si>
  <si>
    <t>至少两个模块；第一个模块含两个主题且其中一个有三级知识点</t>
  </si>
  <si>
    <t>1. 打开报告滚动到知识点掌握度并记录模块统计作为基线
2. 核对第一模块默认展开、其他模块默认折叠
3. 记录模块知识点数量和正确题数/总题数
4. 展开二级主题并记录主题统计
5. 展开三级知识点并记录明细
6. 折叠第一模块并展开第二模块，完成展开核对</t>
  </si>
  <si>
    <t>默认展开状态符合要求；模块、二级主题、三级知识点层级清晰；正确题数、总题数和正确率显示完整；展开折叠后统计保持不变且不串用模块。</t>
  </si>
  <si>
    <t>RPT-COMMON-005</t>
  </si>
  <si>
    <t>未映射与一题多知识点场景不误导试卷题量</t>
  </si>
  <si>
    <t>样本A含未映射模块；样本B含同一道题关联多个三级知识点</t>
  </si>
  <si>
    <t>样本A、B；样本B实际试卷总题数T</t>
  </si>
  <si>
    <t>1. 打开样本A并展开未映射模块，记录页面状态作为基线
2. 核对未映射提示且页面未猜测知识点
3. 返回历史记录打开样本B
4. 展开关联同一题的多个三级知识点
5. 对照题目解析记录实际总题数T
6. 完成核对页面是否暗示将各知识点题量相加为T</t>
  </si>
  <si>
    <t>样本A明确显示没有已映射二级知识点；样本B的实际试卷总题数T保持不变，允许同一题出现在多个知识点统计中，但页面不得把跨知识点数字相加冒充T。</t>
  </si>
  <si>
    <t>当前实现待对齐：跨知识点合计时宜使用“考查次数”口径。</t>
  </si>
  <si>
    <t>RPT-COMMON-006</t>
  </si>
  <si>
    <t>能力缺口矩阵按覆盖量和正确率显示正确状态</t>
  </si>
  <si>
    <t>准备覆盖未覆盖、少于3题、较强、中等、较弱五类单元格的报告</t>
  </si>
  <si>
    <t>同一模块内：0题；1—2题；不少于3题且正确率&gt;70%、40%—70%、&lt;40%</t>
  </si>
  <si>
    <t>1. 打开报告滚动到能力缺口矩阵并记录各单元格基线
2. 找到0题单元格并记录状态
3. 找到1—2题单元格并记录状态
4. 分别核对三档正确率单元格的状态
5. 查看模块汇总的知识主题数量说明
6. 对照总体概览的难度题量并完成核对</t>
  </si>
  <si>
    <t>0题显示未覆盖；少于3题只显示初步信号；样本达到3题后按&gt;70%、40%—70%、&lt;40%分别显示较强、中等、较弱；矩阵状态刷新后保持不变，按模块或Paper汇总且题量与概览方向一致。</t>
  </si>
  <si>
    <t>RPT-COMMON-007</t>
  </si>
  <si>
    <t>优先补弱项只展示合格候选且最多五项</t>
  </si>
  <si>
    <t>准备至少6个样本量达到3题且正确率不高于70%的候选弱项</t>
  </si>
  <si>
    <t>候选项包含不同模块、主题、难度和正确率</t>
  </si>
  <si>
    <t>1. 打开报告滚动到“优先补弱项”
2. 记录展示项数量和排序
3. 逐项核对所属模块、主题、难度、正确率和样本量
4. 查看优先原因、建议投入时间和前置知识检查
5. 查看有题目证据项目的复盘建议
6. 对照能力矩阵和知识点数据抽查两项</t>
  </si>
  <si>
    <t>最多展示5项且不为凑数增加第6项；每项样本量不少于3且正确率不高于70%；字段完整，排序与证据可解释，抽查结果与报告事实一致。</t>
  </si>
  <si>
    <t>RPT-COMMON-008</t>
  </si>
  <si>
    <t>无合格弱项时显示校准建议而不制造缺口</t>
  </si>
  <si>
    <t>准备所有主题样本不足或正确率高于70%的完成报告</t>
  </si>
  <si>
    <t>不存在同时满足样本量不少于3且正确率不高于70%的主题</t>
  </si>
  <si>
    <t>1. 打开报告查看能力缺口矩阵
2. 核对各主题样本量和正确率
3. 滚动到“优先补弱项”
4. 记录页面空状态或替代建议
5. 核对是否出现无证据的弱项卡片
6. 刷新页面</t>
  </si>
  <si>
    <t>页面不制造或补齐弱项卡片；显示继续校准、增加样本或复测建议；刷新后结论保持，且不会把样本不足直接判为弱项。</t>
  </si>
  <si>
    <t>4.8.1 诊断测试报告人工测试用例 — 学习路径与题目解析</t>
  </si>
  <si>
    <t>RPT-LEARN-001</t>
  </si>
  <si>
    <t>资料完整时生成受时间预算约束的完整学习路径</t>
  </si>
  <si>
    <t>个人中心已填写考试日期、每周时间、目标院校和目标专业；已有完成报告</t>
  </si>
  <si>
    <t>考试日期E、每周时间W、目标院校U、目标专业P</t>
  </si>
  <si>
    <t>1. 在个人中心记录E、W、U、P
2. 打开之后生成的诊断报告
3. 滚动到学习路径核对资料回显
4. 记录计划周期、每周投入、总投入、模式和原因
5. 查看基础、提升、冲刺三个阶段
6. 展开各阶段核对周次、目标、重点、策略和任务</t>
  </si>
  <si>
    <t>学习路径使用E、W、U、P；生成标准、强化或长期完整计划并说明原因；包含三个阶段及完整任务信息；总投入与周期、W方向一致，不超出明显可执行预算。</t>
  </si>
  <si>
    <t>RPT-LEARN-002</t>
  </si>
  <si>
    <t>缺少考试日期或每周时间时生成完整七日入门计划</t>
  </si>
  <si>
    <t>准备缺少考试日期或每周可投入时间的学生报告</t>
  </si>
  <si>
    <t>样本A缺少考试日期；样本B缺少每周时间</t>
  </si>
  <si>
    <t>1. 打开样本A的报告并滚动到学习路径
2. 核对计划模式和缺失资料提示
3. 逐日查看第1天至第7天
4. 抽查每天的目的、分钟数、步骤、产出、成功标准和替代方案
5. 返回历史记录打开样本B并重复核对
6. 点击补充资料入口</t>
  </si>
  <si>
    <t>A、B均生成恰好7天的入门计划而非虚构长期周期；每天包含完整执行信息；已填写时间被使用，未填写时采用保守默认；补充资料入口进入个人中心。</t>
  </si>
  <si>
    <t>RPT-LEARN-003</t>
  </si>
  <si>
    <t>缺少目标院校或专业不阻断报告并可前往个人中心补充</t>
  </si>
  <si>
    <t>学生缺少目标院校或目标专业；已有完成报告</t>
  </si>
  <si>
    <t>缺失字段M；分数和知识点数据完整</t>
  </si>
  <si>
    <t>1. 打开报告并记录分数、知识点和学习建议作为基线
2. 滚动到学习路径查看资料摘要
3. 核对缺失字段M的提示
4. 点击前往个人中心的入口
5. 在个人中心补充M并保存
6. 使用浏览器返回原报告并刷新，完成核对</t>
  </si>
  <si>
    <t>缺少U或P不阻断分数、知识点和学习建议；页面明确指出M缺失并可进入个人中心；补充资料后已保存的历史报告快照保持不变。</t>
  </si>
  <si>
    <t>RPT-LEARN-004</t>
  </si>
  <si>
    <t>每周可投入时间很少时学习任务保持可执行</t>
  </si>
  <si>
    <t>个人中心填写较少但合法的每周可投入时间；已有之后生成的报告</t>
  </si>
  <si>
    <t>每周时间W为允许范围内的低值；考试日期已填写</t>
  </si>
  <si>
    <t>1. 在个人中心记录低值W并保存
2. 完成或重新生成一份报告
3. 打开学习路径记录每周投入和总投入
4. 查看各阶段任务数量和建议时长
5. 汇总一周代表任务的预计时间
6. 核对模式原因和替代方案</t>
  </si>
  <si>
    <t>学习路径使用W并说明受时间约束；任务量和建议时长不会明显超过W；低时间预算不会被擅自扩大；计划仍给出可执行重点和替代方案。</t>
  </si>
  <si>
    <t>RPT-QA-001</t>
  </si>
  <si>
    <t>题目解析展示本次全部题目及正确错误未答状态</t>
  </si>
  <si>
    <t>报告对应答卷同时包含正确、错误和未作答题目</t>
  </si>
  <si>
    <t>记录本次提交时间S；各状态题号集合C/W/U</t>
  </si>
  <si>
    <t>1. 从S对应报告点击“题目解析”并记录题目总数作为基线
2. 核对左侧按实际模块或Paper分组
3. 记录正确、错误、未作答数量和题号状态
4. 分别打开C、W、U中的代表题
5. 核对题干、学生答案、正确答案、考查重点和解析
6. 返回报告再进入题目解析并完成核对</t>
  </si>
  <si>
    <t>解析页展示本次全部题目而非仅错题；分组、题目总数和C/W/U状态往返后保持不变；每题内容对应S的答案；不跳到其他历史记录。</t>
  </si>
  <si>
    <t>RPT-QA-002</t>
  </si>
  <si>
    <t>单题缺少解析时不影响其他题目和返回路径</t>
  </si>
  <si>
    <t>准备一份至少一题缺少解析、其他题有完整解析的报告</t>
  </si>
  <si>
    <t>缺少解析题Q1；正常题Q2</t>
  </si>
  <si>
    <t>1. 从报告进入题目解析并打开Q1
2. 核对Q1的无解析提示
3. 通过题号导航切换到Q2
4. 查看Q2的完整解析、步骤和复盘建议
5. 使用浏览器返回报告
6. 再次进入并定位Q2</t>
  </si>
  <si>
    <t>Q1明确显示“当前题目暂无解析内容”，不出现空白崩溃；Q2及其他题仍可正常浏览；返回路径正确，重新进入仍绑定原答卷。</t>
  </si>
  <si>
    <t>4.8.1 诊断测试报告人工测试用例 — 历史升级与权限</t>
  </si>
  <si>
    <t>RPT-HIST-001</t>
  </si>
  <si>
    <t>同卷多次测试的报告和题目解析互不覆盖</t>
  </si>
  <si>
    <t>同一学生已对同一试卷完成两次作答且答案不同</t>
  </si>
  <si>
    <t>第一次提交S1、分数A1；第二次提交S2、分数A2；A1不等于A2</t>
  </si>
  <si>
    <t>1. 打开历史记录确认存在第1次和第2次并记录条数基线
2. 进入S1报告并记录A1和代表题答案
3. 返回历史记录进入S2报告并记录A2和同题答案
4. 分别从两份报告进入题目解析
5. 核对两次答案和学习建议
6. 刷新后再次分别打开并完成核对</t>
  </si>
  <si>
    <t>两次历史记录、报告、分数、答案和建议独立；S2不覆盖S1；每条查看操作只打开该次报告；刷新后仍保持区分，不自动生成合并趋势。</t>
  </si>
  <si>
    <t>RPT-HIST-002</t>
  </si>
  <si>
    <t>当前版本且结构完整的报告顶部不显示更新提示</t>
  </si>
  <si>
    <t>测试环境已部署当前版本；准备新生成且结构完整的ESAT和TMUA报告</t>
  </si>
  <si>
    <t>ESAT当前版本v5；TMUA当前版本v6</t>
  </si>
  <si>
    <t>1. 从历史记录打开新生成的ESAT报告
2. 查看报告顶部是否出现旧版更新提示
3. 刷新ESAT报告再次核对
4. 返回历史记录打开新生成的TMUA报告
5. 查看顶部并刷新再次核对
6. 分别确认核心模块完整</t>
  </si>
  <si>
    <t>结构完整的ESAT v5和TMUA v6均不显示“旧版”或“生成新版”提示；刷新后仍不出现；报告核心模块正常展示。</t>
  </si>
  <si>
    <t>诊断报告页始终有“生成完整TMUA诊断报告”icon，但点击后重新生成的报告无变化。</t>
  </si>
  <si>
    <t>RPT-HIST-003</t>
  </si>
  <si>
    <t>旧版报告主动升级成功后替换快照但不新增历史记录</t>
  </si>
  <si>
    <t>准备一份版本低于当前规则的可升级历史报告</t>
  </si>
  <si>
    <t>操作前历史次数H、诊断次数D、提交时间S、正确题数C/T</t>
  </si>
  <si>
    <t>1. 打开旧版报告并记录H、D、S、C/T
2. 核对顶部旧版提示和“生成新版诊断报告”按钮
3. 点击生成新版并等待完成
4. 刷新报告核对升级提示消失
5. 核对S、C/T、答案和交卷时间
6. 返回历史记录和个人中心重新记录H、D</t>
  </si>
  <si>
    <t>新版成功后替换同一S的报告快照且提示消失；答案、C/T、交卷时间不变；H、D保持操作前值，不新增测试记录或使用量。</t>
  </si>
  <si>
    <t>RPT-HIST-004</t>
  </si>
  <si>
    <t>旧版报告升级中旧快照可读且重复点击不创建并行任务</t>
  </si>
  <si>
    <t>准备可升级旧版报告；升级任务可保持分析中一段时间</t>
  </si>
  <si>
    <t>旧报告关键分数A和提交时间S</t>
  </si>
  <si>
    <t>1. 打开旧报告记录A、S并点击生成新版
2. 在分析中继续滚动查看旧报告模块
3. 快速重复点击升级操作
4. 返回历史记录查看同一S状态
5. 再次进入报告核对旧快照仍可读
6. 等待完成后刷新</t>
  </si>
  <si>
    <t>升级中旧报告A、提交时间S保持不变且仍可阅读；重复点击只保留一个升级任务；历史记录不新增；完成后同一S切换到新版且状态正常。</t>
  </si>
  <si>
    <t>RPT-HIST-005</t>
  </si>
  <si>
    <t>旧版报告升级失败后保留旧快照并允许重试</t>
  </si>
  <si>
    <t>准备可控制升级失败的旧版报告</t>
  </si>
  <si>
    <t>旧报告关键分数A、提交时间S</t>
  </si>
  <si>
    <t>1. 打开旧报告记录A、S作为基线并启动升级
2. 使本次升级失败
3. 核对失败原因和重试入口
4. 继续浏览旧报告并核对A
5. 返回历史记录再进入同一S
6. 恢复条件后重新生成并等待完成</t>
  </si>
  <si>
    <t>升级失败不删除旧报告，A、S和旧快照保持不变且始终可读；失败原因清晰并可重试；成功后才替换快照；整个过程不新增历史记录。</t>
  </si>
  <si>
    <t>RPT-HIST-006</t>
  </si>
  <si>
    <t>个人资料修改后历史报告不会自动改写</t>
  </si>
  <si>
    <t>已有包含学习路径的完成报告；学生可修改个人资料</t>
  </si>
  <si>
    <t>报告中原考试日期E1、每周时间W1；新资料E2、W2</t>
  </si>
  <si>
    <t>1. 打开历史报告记录学习路径中的E1、W1和计划摘要
2. 前往个人中心将资料改为E2、W2并保存
3. 返回原历史报告
4. 刷新页面并重新打开同一记录
5. 核对学习路径资料和计划摘要
6. 查看是否自动出现新的历史记录</t>
  </si>
  <si>
    <t>已保存报告保持E1、W1及原计划快照，不因个人资料修改自动更新；不会新增测试或报告记录；新资料只影响之后明确重新生成的报告。</t>
  </si>
  <si>
    <t>个人中心信息和诊断测试备考科目未关联</t>
  </si>
  <si>
    <t>RPT-HIST-007</t>
  </si>
  <si>
    <t>试卷下线归档、改会员或会员到期后历史报告仍可查看</t>
  </si>
  <si>
    <t>权限</t>
  </si>
  <si>
    <t>学生已有完成报告；管理员可调整试卷状态和访问级别；会员账号可到期</t>
  </si>
  <si>
    <t>状态矩阵：下线、归档、免费改会员、会员到期</t>
  </si>
  <si>
    <t>1. 调整前打开历史报告和题目解析并记录提交时间S
2. 管理员依次按测试数据设置目标状态
3. 学生刷新诊断首页和历史记录
4. 按S打开历史报告
5. 点击题目解析并浏览代表题
6. 返回年份入口尝试创建新测试</t>
  </si>
  <si>
    <t>四种状态下已提交的历史报告和题目解析均保持可访问；报告内容不被覆盖；新测试入口按最新试卷和会员规则限制，不能反向阻断历史查看。</t>
  </si>
  <si>
    <t>RPT-HIST-008</t>
  </si>
  <si>
    <t>他人记录、未提交记录和考试类型错误地址均被拒绝</t>
  </si>
  <si>
    <t>准备账号A、B；A有完成ESAT报告；A另有未提交诊断；B已登录</t>
  </si>
  <si>
    <t>地址矩阵：B访问A报告、A访问未提交记录、ESAT记录使用TMUA报告地址、TMUA记录使用ESAT地址</t>
  </si>
  <si>
    <t>1. 使用账号B打开账号A完成报告地址
2. 记录页面拒绝结果并返回
3. 使用账号A打开自己的未提交记录报告地址
4. 分别用错误考试类型地址打开ESAT和TMUA记录
5. 使用正确地址打开A的完成ESAT报告
6. 核对前述拒绝过程中未泄露分数、答案或学习建议</t>
  </si>
  <si>
    <t>他人、未提交和类型错误地址均不能加载报告内容；页面安全拒绝并可返回；正确归属和正确类型地址正常打开；拒绝页面不泄露任何报告事实。</t>
  </si>
  <si>
    <t>RPT-HIST-009</t>
  </si>
  <si>
    <t>查看、刷新和升级报告不改变诊断使用量及其他考试统计</t>
  </si>
  <si>
    <t>学生同时有ESAT、TMUA诊断统计；至少一份可升级报告</t>
  </si>
  <si>
    <t>操作前ESAT次数DE、TMUA次数DT、历史次数H</t>
  </si>
  <si>
    <t>1. 在个人中心和诊断历史记录DE、DT、H
2. 打开并刷新一份当前报告三次
3. 进入题目解析后返回报告
4. 对一份旧报告执行升级并等待完成
5. 返回个人中心和历史记录刷新
6. 退出后重新登录再次记录DE、DT、H</t>
  </si>
  <si>
    <t>查看、刷新、题目解析和报告升级均不改变DE、DT、H；另一考试统计保持不变；重新登录后数值仍为操作前基线。</t>
  </si>
  <si>
    <t>RPT-HIST-010</t>
  </si>
  <si>
    <t>历史报告深链接、浏览器返回和重新登录保持正确记录</t>
  </si>
  <si>
    <t>学生至少有两份不同提交时间的完成报告</t>
  </si>
  <si>
    <t>报告R1、R2；记录各自提交时间和分数</t>
  </si>
  <si>
    <t>1. 从历史记录打开R1并复制当前地址
2. 点击题目解析后使用浏览器返回
3. 核对仍回到R1而不是R2
4. 退出登录后直接访问R1地址并完成登录
5. 核对登录后打开或安全返回R1
6. 返回历史记录打开R2并再次使用浏览器返回</t>
  </si>
  <si>
    <t>题目解析返回后仍为原报告；登录拦截不会把R1替换为最新R2；深链接恢复和浏览器历史行为可预测；历史记录数量保持不变，R1、R2内容始终对应各自记录。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</si>
</sst>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sz val="10"/>
      <color rgb="FF375A7F"/>
      <name val="Microsoft YaHei"/>
      <charset val="134"/>
    </font>
    <font>
      <b/>
      <sz val="10"/>
      <color rgb="FFFFFFFF"/>
      <name val="Microsoft YaHei"/>
      <charset val="134"/>
    </font>
    <font>
      <sz val="10"/>
      <color rgb="FF243447"/>
      <name val="Microsoft YaHei"/>
      <charset val="134"/>
    </font>
    <font>
      <b/>
      <sz val="11"/>
      <color rgb="FFFFFFFF"/>
      <name val="Microsoft YaHei"/>
      <charset val="134"/>
    </font>
    <font>
      <b/>
      <sz val="10"/>
      <color rgb="FF243447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C9D4E0"/>
      </bottom>
      <diagonal/>
    </border>
    <border>
      <left/>
      <right/>
      <top style="thin">
        <color rgb="FFC9D4E0"/>
      </top>
      <bottom style="thin">
        <color rgb="FFC9D4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176" fontId="4" fillId="8" borderId="1" xfId="0" applyNumberFormat="1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name val="Microsoft YaHei"/>
        <scheme val="none"/>
        <b val="1"/>
        <sz val="10"/>
        <color rgb="FF9C0006"/>
      </font>
      <fill>
        <patternFill patternType="solid">
          <fgColor rgb="FFF4CCCC"/>
        </patternFill>
      </fill>
    </dxf>
    <dxf>
      <font>
        <name val="Microsoft YaHei"/>
        <scheme val="none"/>
        <b val="1"/>
        <sz val="10"/>
        <color rgb="FF9C5700"/>
      </font>
      <fill>
        <patternFill patternType="solid">
          <fgColor rgb="FFFCE5CD"/>
        </patternFill>
      </fill>
    </dxf>
    <dxf>
      <font>
        <name val="Microsoft YaHei"/>
        <scheme val="none"/>
        <b val="1"/>
        <sz val="10"/>
        <color rgb="FF274E13"/>
      </font>
      <fill>
        <patternFill patternType="solid">
          <fgColor rgb="FFD9EAD3"/>
        </patternFill>
      </fill>
    </dxf>
    <dxf>
      <font>
        <name val="Microsoft YaHei"/>
        <scheme val="none"/>
        <b val="1"/>
        <sz val="10"/>
        <color rgb="FF5B0F00"/>
      </font>
      <fill>
        <patternFill patternType="solid">
          <fgColor rgb="FFEADCF8"/>
        </patternFill>
      </fill>
    </dxf>
    <dxf>
      <font>
        <name val="Microsoft YaHei"/>
        <scheme val="none"/>
        <b val="1"/>
        <sz val="10"/>
        <color rgb="FF666666"/>
      </font>
      <fill>
        <patternFill patternType="solid">
          <fgColor rgb="FFE7E6E6"/>
        </patternFill>
      </fill>
    </dxf>
    <dxf>
      <font>
        <name val="Microsoft YaHei"/>
        <scheme val="none"/>
        <b val="1"/>
        <sz val="10"/>
        <color rgb="FFFFFFFF"/>
      </font>
      <fill>
        <patternFill patternType="solid">
          <fgColor rgb="FF990000"/>
        </patternFill>
      </fill>
    </dxf>
    <dxf>
      <font>
        <name val="Microsoft YaHei"/>
        <scheme val="none"/>
        <b val="1"/>
        <sz val="10"/>
        <color rgb="FF7F6000"/>
      </font>
      <fill>
        <patternFill patternType="solid">
          <fgColor rgb="FFFFF2CC"/>
        </patternFill>
      </fill>
    </dxf>
    <dxf>
      <font>
        <name val="Microsoft YaHei"/>
        <scheme val="none"/>
        <b val="1"/>
        <sz val="10"/>
        <color rgb="FF375623"/>
      </font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portManualSummaryTable" displayName="ReportManualSummaryTable" ref="A9:I16">
  <autoFilter xmlns:etc="http://www.wps.cn/officeDocument/2017/etCustomData" ref="A9:I16" etc:filterBottomFollowUsedRange="0"/>
  <tableColumns count="9">
    <tableColumn id="1" name="模块"/>
    <tableColumn id="2" name="用例数"/>
    <tableColumn id="3" name="P0"/>
    <tableColumn id="4" name="未执行"/>
    <tableColumn id="5" name="是否通过-是"/>
    <tableColumn id="6" name="是否通过-否"/>
    <tableColumn id="7" name="严重缺陷"/>
    <tableColumn id="8" name="已完成修复"/>
    <tableColumn id="9" name="回归通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rtManualCases01" displayName="ReportManualCases01" ref="A3:P10">
  <autoFilter xmlns:etc="http://www.wps.cn/officeDocument/2017/etCustomData" ref="A3:P10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portManualCases02" displayName="ReportManualCases02" ref="A3:P9">
  <autoFilter xmlns:etc="http://www.wps.cn/officeDocument/2017/etCustomData" ref="A3:P9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portManualCases03" displayName="ReportManualCases03" ref="A3:P8">
  <autoFilter xmlns:etc="http://www.wps.cn/officeDocument/2017/etCustomData" ref="A3:P8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portManualCases04" displayName="ReportManualCases04" ref="A3:P11">
  <autoFilter xmlns:etc="http://www.wps.cn/officeDocument/2017/etCustomData" ref="A3:P11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ortManualCases05" displayName="ReportManualCases05" ref="A3:P9">
  <autoFilter xmlns:etc="http://www.wps.cn/officeDocument/2017/etCustomData" ref="A3:P9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portManualCases06" displayName="ReportManualCases06" ref="A3:P13">
  <autoFilter xmlns:etc="http://www.wps.cn/officeDocument/2017/etCustomData" ref="A3:P13" etc:filterBottomFollowUsedRange="0"/>
  <tableColumns count="16">
    <tableColumn id="1" name="用例编号"/>
    <tableColumn id="2" name="功能模块"/>
    <tableColumn id="3" name="用例标题"/>
    <tableColumn id="4" name="优先级"/>
    <tableColumn id="5" name="用例类型"/>
    <tableColumn id="6" name="前置条件"/>
    <tableColumn id="7" name="测试数据"/>
    <tableColumn id="8" name="操作步骤"/>
    <tableColumn id="9" name="预期结果"/>
    <tableColumn id="10" name="执行状态"/>
    <tableColumn id="11" name="是否通过"/>
    <tableColumn id="12" name="缺陷等级"/>
    <tableColumn id="13" name="实际结果"/>
    <tableColumn id="14" name="备注"/>
    <tableColumn id="15" name="修复情况"/>
    <tableColumn id="16" name="回归情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showGridLines="0" workbookViewId="0">
      <selection activeCell="A1" sqref="A1:I1"/>
    </sheetView>
  </sheetViews>
  <sheetFormatPr defaultColWidth="9" defaultRowHeight="16.8"/>
  <cols>
    <col min="1" max="1" width="18" customWidth="1"/>
    <col min="2" max="2" width="26" customWidth="1"/>
    <col min="3" max="3" width="24" customWidth="1"/>
    <col min="4" max="4" width="18" customWidth="1"/>
    <col min="5" max="5" width="24" customWidth="1"/>
    <col min="6" max="7" width="18" customWidth="1"/>
    <col min="8" max="8" width="22" customWidth="1"/>
    <col min="9" max="9" width="18" customWidth="1"/>
  </cols>
  <sheetData>
    <row r="1" ht="38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32" customHeight="1" spans="1:9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4" ht="30" customHeight="1" spans="1:9">
      <c r="A4" s="11" t="s">
        <v>2</v>
      </c>
      <c r="B4" s="12" t="s">
        <v>3</v>
      </c>
      <c r="C4" s="12"/>
      <c r="D4" s="11" t="s">
        <v>4</v>
      </c>
      <c r="E4" s="13">
        <v>46243</v>
      </c>
      <c r="F4" s="12"/>
      <c r="G4" s="11" t="s">
        <v>5</v>
      </c>
      <c r="H4" s="12">
        <f>SUM(B10:B15)</f>
        <v>42</v>
      </c>
      <c r="I4" s="12"/>
    </row>
    <row r="5" ht="36" customHeight="1" spans="1:9">
      <c r="A5" s="11" t="s">
        <v>6</v>
      </c>
      <c r="B5" s="12" t="s">
        <v>7</v>
      </c>
      <c r="C5" s="12"/>
      <c r="D5" s="12"/>
      <c r="E5" s="12"/>
      <c r="F5" s="12"/>
      <c r="G5" s="11" t="s">
        <v>8</v>
      </c>
      <c r="H5" s="12" t="s">
        <v>9</v>
      </c>
      <c r="I5" s="12"/>
    </row>
    <row r="6" ht="42" customHeight="1" spans="1:9">
      <c r="A6" s="11" t="s">
        <v>10</v>
      </c>
      <c r="B6" s="12" t="s">
        <v>11</v>
      </c>
      <c r="C6" s="12"/>
      <c r="D6" s="12"/>
      <c r="E6" s="12"/>
      <c r="F6" s="12"/>
      <c r="G6" s="12"/>
      <c r="H6" s="12"/>
      <c r="I6" s="12"/>
    </row>
    <row r="8" spans="1:9">
      <c r="A8" s="14" t="s">
        <v>12</v>
      </c>
      <c r="B8" s="14"/>
      <c r="C8" s="14"/>
      <c r="D8" s="14"/>
      <c r="E8" s="14"/>
      <c r="F8" s="14"/>
      <c r="G8" s="14"/>
      <c r="H8" s="14"/>
      <c r="I8" s="14"/>
    </row>
    <row r="9" ht="32" customHeight="1" spans="1:9">
      <c r="A9" s="3" t="s">
        <v>13</v>
      </c>
      <c r="B9" s="3" t="s">
        <v>14</v>
      </c>
      <c r="C9" s="3" t="s">
        <v>15</v>
      </c>
      <c r="D9" s="3" t="s">
        <v>9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</row>
    <row r="10" ht="26" customHeight="1" spans="1:9">
      <c r="A10" s="15" t="s">
        <v>21</v>
      </c>
      <c r="B10" s="15">
        <f>COUNTA(报告生成与状态!$A$4:$A$10)</f>
        <v>7</v>
      </c>
      <c r="C10" s="15">
        <f>COUNTIF(报告生成与状态!$D$4:$D$10,"P0")</f>
        <v>7</v>
      </c>
      <c r="D10" s="15">
        <f>COUNTIF(报告生成与状态!$J$4:$J$10,"未执行")</f>
        <v>7</v>
      </c>
      <c r="E10" s="15">
        <f>COUNTIF(报告生成与状态!$K$4:$K$10,"是")</f>
        <v>5</v>
      </c>
      <c r="F10" s="15">
        <f>COUNTIF(报告生成与状态!$K$4:$K$10,"否")</f>
        <v>0</v>
      </c>
      <c r="G10" s="15">
        <f>COUNTIF(报告生成与状态!$L$4:$L$10,"阻塞")+COUNTIF(报告生成与状态!$L$4:$L$10,"高")</f>
        <v>0</v>
      </c>
      <c r="H10" s="15">
        <f>COUNTIF(报告生成与状态!$O$4:$O$10,"已完成")</f>
        <v>0</v>
      </c>
      <c r="I10" s="15">
        <f>COUNTIF(报告生成与状态!$P$4:$P$10,"通过")</f>
        <v>0</v>
      </c>
    </row>
    <row r="11" ht="26" customHeight="1" spans="1:9">
      <c r="A11" s="16" t="s">
        <v>22</v>
      </c>
      <c r="B11" s="16">
        <f>COUNTA(ESAT报告!$A$4:$A$9)</f>
        <v>6</v>
      </c>
      <c r="C11" s="16">
        <f>COUNTIF(ESAT报告!$D$4:$D$9,"P0")</f>
        <v>6</v>
      </c>
      <c r="D11" s="16">
        <f>COUNTIF(ESAT报告!$J$4:$J$9,"未执行")</f>
        <v>6</v>
      </c>
      <c r="E11" s="16">
        <f>COUNTIF(ESAT报告!$K$4:$K$9,"是")</f>
        <v>5</v>
      </c>
      <c r="F11" s="16">
        <f>COUNTIF(ESAT报告!$K$4:$K$9,"否")</f>
        <v>1</v>
      </c>
      <c r="G11" s="16">
        <f>COUNTIF(ESAT报告!$L$4:$L$9,"阻塞")+COUNTIF(ESAT报告!$L$4:$L$9,"高")</f>
        <v>0</v>
      </c>
      <c r="H11" s="16">
        <f>COUNTIF(ESAT报告!$O$4:$O$9,"已完成")</f>
        <v>0</v>
      </c>
      <c r="I11" s="16">
        <f>COUNTIF(ESAT报告!$P$4:$P$9,"通过")</f>
        <v>0</v>
      </c>
    </row>
    <row r="12" ht="26" customHeight="1" spans="1:9">
      <c r="A12" s="15" t="s">
        <v>23</v>
      </c>
      <c r="B12" s="15">
        <f>COUNTA(TMUA报告!$A$4:$A$8)</f>
        <v>5</v>
      </c>
      <c r="C12" s="15">
        <f>COUNTIF(TMUA报告!$D$4:$D$8,"P0")</f>
        <v>5</v>
      </c>
      <c r="D12" s="15">
        <f>COUNTIF(TMUA报告!$J$4:$J$8,"未执行")</f>
        <v>5</v>
      </c>
      <c r="E12" s="15">
        <f>COUNTIF(TMUA报告!$K$4:$K$8,"是")</f>
        <v>5</v>
      </c>
      <c r="F12" s="15">
        <f>COUNTIF(TMUA报告!$K$4:$K$8,"否")</f>
        <v>0</v>
      </c>
      <c r="G12" s="15">
        <f>COUNTIF(TMUA报告!$L$4:$L$8,"阻塞")+COUNTIF(TMUA报告!$L$4:$L$8,"高")</f>
        <v>0</v>
      </c>
      <c r="H12" s="15">
        <f>COUNTIF(TMUA报告!$O$4:$O$8,"已完成")</f>
        <v>0</v>
      </c>
      <c r="I12" s="15">
        <f>COUNTIF(TMUA报告!$P$4:$P$8,"通过")</f>
        <v>0</v>
      </c>
    </row>
    <row r="13" ht="26" customHeight="1" spans="1:9">
      <c r="A13" s="16" t="s">
        <v>24</v>
      </c>
      <c r="B13" s="16">
        <f>COUNTA(公共分析模块!$A$4:$A$11)</f>
        <v>8</v>
      </c>
      <c r="C13" s="16">
        <f>COUNTIF(公共分析模块!$D$4:$D$11,"P0")</f>
        <v>8</v>
      </c>
      <c r="D13" s="16">
        <f>COUNTIF(公共分析模块!$J$4:$J$11,"未执行")</f>
        <v>8</v>
      </c>
      <c r="E13" s="16">
        <f>COUNTIF(公共分析模块!$K$4:$K$11,"是")</f>
        <v>8</v>
      </c>
      <c r="F13" s="16">
        <f>COUNTIF(公共分析模块!$K$4:$K$11,"否")</f>
        <v>0</v>
      </c>
      <c r="G13" s="16">
        <f>COUNTIF(公共分析模块!$L$4:$L$11,"阻塞")+COUNTIF(公共分析模块!$L$4:$L$11,"高")</f>
        <v>0</v>
      </c>
      <c r="H13" s="16">
        <f>COUNTIF(公共分析模块!$O$4:$O$11,"已完成")</f>
        <v>0</v>
      </c>
      <c r="I13" s="16">
        <f>COUNTIF(公共分析模块!$P$4:$P$11,"通过")</f>
        <v>0</v>
      </c>
    </row>
    <row r="14" ht="26" customHeight="1" spans="1:9">
      <c r="A14" s="15" t="s">
        <v>25</v>
      </c>
      <c r="B14" s="15">
        <f>COUNTA(学习路径与题目解析!$A$4:$A$9)</f>
        <v>6</v>
      </c>
      <c r="C14" s="15">
        <f>COUNTIF(学习路径与题目解析!$D$4:$D$9,"P0")</f>
        <v>6</v>
      </c>
      <c r="D14" s="15">
        <f>COUNTIF(学习路径与题目解析!$J$4:$J$9,"未执行")</f>
        <v>6</v>
      </c>
      <c r="E14" s="15">
        <f>COUNTIF(学习路径与题目解析!$K$4:$K$9,"是")</f>
        <v>5</v>
      </c>
      <c r="F14" s="15">
        <f>COUNTIF(学习路径与题目解析!$K$4:$K$9,"否")</f>
        <v>0</v>
      </c>
      <c r="G14" s="15">
        <f>COUNTIF(学习路径与题目解析!$L$4:$L$9,"阻塞")+COUNTIF(学习路径与题目解析!$L$4:$L$9,"高")</f>
        <v>0</v>
      </c>
      <c r="H14" s="15">
        <f>COUNTIF(学习路径与题目解析!$O$4:$O$9,"已完成")</f>
        <v>0</v>
      </c>
      <c r="I14" s="15">
        <f>COUNTIF(学习路径与题目解析!$P$4:$P$9,"通过")</f>
        <v>0</v>
      </c>
    </row>
    <row r="15" ht="26" customHeight="1" spans="1:9">
      <c r="A15" s="16" t="s">
        <v>26</v>
      </c>
      <c r="B15" s="16">
        <f>COUNTA(历史升级与权限!$A$4:$A$13)</f>
        <v>10</v>
      </c>
      <c r="C15" s="16">
        <f>COUNTIF(历史升级与权限!$D$4:$D$13,"P0")</f>
        <v>10</v>
      </c>
      <c r="D15" s="16">
        <f>COUNTIF(历史升级与权限!$J$4:$J$13,"未执行")</f>
        <v>10</v>
      </c>
      <c r="E15" s="16">
        <f>COUNTIF(历史升级与权限!$K$4:$K$13,"是")</f>
        <v>3</v>
      </c>
      <c r="F15" s="16">
        <f>COUNTIF(历史升级与权限!$K$4:$K$13,"否")</f>
        <v>2</v>
      </c>
      <c r="G15" s="16">
        <f>COUNTIF(历史升级与权限!$L$4:$L$13,"阻塞")+COUNTIF(历史升级与权限!$L$4:$L$13,"高")</f>
        <v>0</v>
      </c>
      <c r="H15" s="16">
        <f>COUNTIF(历史升级与权限!$O$4:$O$13,"已完成")</f>
        <v>0</v>
      </c>
      <c r="I15" s="16">
        <f>COUNTIF(历史升级与权限!$P$4:$P$13,"通过")</f>
        <v>0</v>
      </c>
    </row>
    <row r="16" ht="28" customHeight="1" spans="1:9">
      <c r="A16" s="17" t="s">
        <v>27</v>
      </c>
      <c r="B16" s="17">
        <f t="shared" ref="B16:I16" si="0">SUM(B10:B15)</f>
        <v>42</v>
      </c>
      <c r="C16" s="17">
        <f t="shared" si="0"/>
        <v>42</v>
      </c>
      <c r="D16" s="17">
        <f t="shared" si="0"/>
        <v>42</v>
      </c>
      <c r="E16" s="17">
        <f t="shared" si="0"/>
        <v>31</v>
      </c>
      <c r="F16" s="17">
        <f t="shared" si="0"/>
        <v>3</v>
      </c>
      <c r="G16" s="17">
        <f t="shared" si="0"/>
        <v>0</v>
      </c>
      <c r="H16" s="17">
        <f t="shared" si="0"/>
        <v>0</v>
      </c>
      <c r="I16" s="17">
        <f t="shared" si="0"/>
        <v>0</v>
      </c>
    </row>
    <row r="18" spans="1:9">
      <c r="A18" s="14" t="s">
        <v>28</v>
      </c>
      <c r="B18" s="14"/>
      <c r="C18" s="14"/>
      <c r="D18" s="14"/>
      <c r="E18" s="14"/>
      <c r="F18" s="14"/>
      <c r="G18" s="14"/>
      <c r="H18" s="14"/>
      <c r="I18" s="14"/>
    </row>
    <row r="19" ht="38" customHeight="1" spans="1:9">
      <c r="A19" s="18" t="s">
        <v>29</v>
      </c>
      <c r="B19" s="19" t="s">
        <v>30</v>
      </c>
      <c r="C19" s="19"/>
      <c r="D19" s="19"/>
      <c r="E19" s="19"/>
      <c r="F19" s="19"/>
      <c r="G19" s="19"/>
      <c r="H19" s="19"/>
      <c r="I19" s="19"/>
    </row>
    <row r="20" ht="38" customHeight="1" spans="1:9">
      <c r="A20" s="18" t="s">
        <v>31</v>
      </c>
      <c r="B20" s="19" t="s">
        <v>32</v>
      </c>
      <c r="C20" s="19"/>
      <c r="D20" s="19"/>
      <c r="E20" s="19"/>
      <c r="F20" s="19"/>
      <c r="G20" s="19"/>
      <c r="H20" s="19"/>
      <c r="I20" s="19"/>
    </row>
    <row r="21" ht="38" customHeight="1" spans="1:9">
      <c r="A21" s="18" t="s">
        <v>33</v>
      </c>
      <c r="B21" s="19" t="s">
        <v>34</v>
      </c>
      <c r="C21" s="19"/>
      <c r="D21" s="19"/>
      <c r="E21" s="19"/>
      <c r="F21" s="19"/>
      <c r="G21" s="19"/>
      <c r="H21" s="19"/>
      <c r="I21" s="19"/>
    </row>
    <row r="22" ht="38" customHeight="1" spans="1:9">
      <c r="A22" s="18" t="s">
        <v>35</v>
      </c>
      <c r="B22" s="19" t="s">
        <v>36</v>
      </c>
      <c r="C22" s="19"/>
      <c r="D22" s="19"/>
      <c r="E22" s="19"/>
      <c r="F22" s="19"/>
      <c r="G22" s="19"/>
      <c r="H22" s="19"/>
      <c r="I22" s="19"/>
    </row>
    <row r="23" ht="38" customHeight="1" spans="1:9">
      <c r="A23" s="18" t="s">
        <v>37</v>
      </c>
      <c r="B23" s="19" t="s">
        <v>38</v>
      </c>
      <c r="C23" s="19"/>
      <c r="D23" s="19"/>
      <c r="E23" s="19"/>
      <c r="F23" s="19"/>
      <c r="G23" s="19"/>
      <c r="H23" s="19"/>
      <c r="I23" s="19"/>
    </row>
  </sheetData>
  <mergeCells count="15">
    <mergeCell ref="A1:I1"/>
    <mergeCell ref="A2:I2"/>
    <mergeCell ref="B4:C4"/>
    <mergeCell ref="E4:F4"/>
    <mergeCell ref="H4:I4"/>
    <mergeCell ref="B5:F5"/>
    <mergeCell ref="H5:I5"/>
    <mergeCell ref="B6:I6"/>
    <mergeCell ref="A8:I8"/>
    <mergeCell ref="A18:I18"/>
    <mergeCell ref="B19:I19"/>
    <mergeCell ref="B20:I20"/>
    <mergeCell ref="B21:I21"/>
    <mergeCell ref="B22:I22"/>
    <mergeCell ref="B23:I23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0"/>
  <sheetViews>
    <sheetView showGridLines="0" workbookViewId="0">
      <pane xSplit="5" ySplit="3" topLeftCell="F5" activePane="bottomRight" state="frozen"/>
      <selection/>
      <selection pane="topRight"/>
      <selection pane="bottomLeft"/>
      <selection pane="bottomRight" activeCell="K9" sqref="K9"/>
    </sheetView>
  </sheetViews>
  <sheetFormatPr defaultColWidth="9" defaultRowHeight="16.8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127" customHeight="1" spans="1:16">
      <c r="A4" s="4" t="s">
        <v>57</v>
      </c>
      <c r="B4" s="4" t="s">
        <v>21</v>
      </c>
      <c r="C4" s="5" t="s">
        <v>58</v>
      </c>
      <c r="D4" s="4" t="s">
        <v>15</v>
      </c>
      <c r="E4" s="4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6" t="s">
        <v>9</v>
      </c>
      <c r="K4" s="6" t="s">
        <v>64</v>
      </c>
      <c r="L4" s="6"/>
      <c r="M4" s="7"/>
      <c r="N4" s="7"/>
      <c r="O4" s="6"/>
      <c r="P4" s="6"/>
    </row>
    <row r="5" ht="112" customHeight="1" spans="1:16">
      <c r="A5" s="8" t="s">
        <v>65</v>
      </c>
      <c r="B5" s="8" t="s">
        <v>21</v>
      </c>
      <c r="C5" s="9" t="s">
        <v>66</v>
      </c>
      <c r="D5" s="8" t="s">
        <v>15</v>
      </c>
      <c r="E5" s="8" t="s">
        <v>59</v>
      </c>
      <c r="F5" s="9" t="s">
        <v>67</v>
      </c>
      <c r="G5" s="9" t="s">
        <v>68</v>
      </c>
      <c r="H5" s="9" t="s">
        <v>69</v>
      </c>
      <c r="I5" s="9" t="s">
        <v>70</v>
      </c>
      <c r="J5" s="6" t="s">
        <v>9</v>
      </c>
      <c r="K5" s="6" t="s">
        <v>64</v>
      </c>
      <c r="L5" s="6"/>
      <c r="M5" s="7"/>
      <c r="N5" s="7"/>
      <c r="O5" s="6"/>
      <c r="P5" s="6"/>
    </row>
    <row r="6" ht="112" customHeight="1" spans="1:16">
      <c r="A6" s="4" t="s">
        <v>71</v>
      </c>
      <c r="B6" s="4" t="s">
        <v>21</v>
      </c>
      <c r="C6" s="5" t="s">
        <v>72</v>
      </c>
      <c r="D6" s="4" t="s">
        <v>15</v>
      </c>
      <c r="E6" s="4" t="s">
        <v>59</v>
      </c>
      <c r="F6" s="5" t="s">
        <v>73</v>
      </c>
      <c r="G6" s="5" t="s">
        <v>74</v>
      </c>
      <c r="H6" s="5" t="s">
        <v>75</v>
      </c>
      <c r="I6" s="5" t="s">
        <v>76</v>
      </c>
      <c r="J6" s="6" t="s">
        <v>9</v>
      </c>
      <c r="K6" s="6" t="s">
        <v>64</v>
      </c>
      <c r="L6" s="6"/>
      <c r="M6" s="7"/>
      <c r="N6" s="7" t="s">
        <v>77</v>
      </c>
      <c r="O6" s="6"/>
      <c r="P6" s="6"/>
    </row>
    <row r="7" ht="112" customHeight="1" spans="1:16">
      <c r="A7" s="8" t="s">
        <v>78</v>
      </c>
      <c r="B7" s="8" t="s">
        <v>21</v>
      </c>
      <c r="C7" s="9" t="s">
        <v>79</v>
      </c>
      <c r="D7" s="8" t="s">
        <v>15</v>
      </c>
      <c r="E7" s="8" t="s">
        <v>80</v>
      </c>
      <c r="F7" s="9" t="s">
        <v>81</v>
      </c>
      <c r="G7" s="9" t="s">
        <v>82</v>
      </c>
      <c r="H7" s="9" t="s">
        <v>83</v>
      </c>
      <c r="I7" s="9" t="s">
        <v>84</v>
      </c>
      <c r="J7" s="6" t="s">
        <v>9</v>
      </c>
      <c r="K7" s="6" t="s">
        <v>64</v>
      </c>
      <c r="L7" s="6"/>
      <c r="M7" s="7"/>
      <c r="N7" s="7"/>
      <c r="O7" s="6"/>
      <c r="P7" s="6"/>
    </row>
    <row r="8" ht="112" customHeight="1" spans="1:16">
      <c r="A8" s="4" t="s">
        <v>85</v>
      </c>
      <c r="B8" s="4" t="s">
        <v>21</v>
      </c>
      <c r="C8" s="5" t="s">
        <v>86</v>
      </c>
      <c r="D8" s="4" t="s">
        <v>15</v>
      </c>
      <c r="E8" s="4" t="s">
        <v>80</v>
      </c>
      <c r="F8" s="5" t="s">
        <v>87</v>
      </c>
      <c r="G8" s="5" t="s">
        <v>88</v>
      </c>
      <c r="H8" s="5" t="s">
        <v>89</v>
      </c>
      <c r="I8" s="5" t="s">
        <v>90</v>
      </c>
      <c r="J8" s="6" t="s">
        <v>9</v>
      </c>
      <c r="K8" s="6"/>
      <c r="L8" s="6"/>
      <c r="M8" s="7"/>
      <c r="N8" s="7"/>
      <c r="O8" s="6"/>
      <c r="P8" s="6"/>
    </row>
    <row r="9" ht="112" customHeight="1" spans="1:16">
      <c r="A9" s="8" t="s">
        <v>91</v>
      </c>
      <c r="B9" s="8" t="s">
        <v>21</v>
      </c>
      <c r="C9" s="9" t="s">
        <v>92</v>
      </c>
      <c r="D9" s="8" t="s">
        <v>15</v>
      </c>
      <c r="E9" s="8" t="s">
        <v>80</v>
      </c>
      <c r="F9" s="9" t="s">
        <v>93</v>
      </c>
      <c r="G9" s="9" t="s">
        <v>94</v>
      </c>
      <c r="H9" s="9" t="s">
        <v>95</v>
      </c>
      <c r="I9" s="9" t="s">
        <v>96</v>
      </c>
      <c r="J9" s="6" t="s">
        <v>9</v>
      </c>
      <c r="K9" s="6" t="s">
        <v>64</v>
      </c>
      <c r="L9" s="6"/>
      <c r="M9" s="7"/>
      <c r="N9" s="7"/>
      <c r="O9" s="6"/>
      <c r="P9" s="6"/>
    </row>
    <row r="10" ht="97" customHeight="1" spans="1:16">
      <c r="A10" s="4" t="s">
        <v>97</v>
      </c>
      <c r="B10" s="4" t="s">
        <v>21</v>
      </c>
      <c r="C10" s="5" t="s">
        <v>98</v>
      </c>
      <c r="D10" s="4" t="s">
        <v>15</v>
      </c>
      <c r="E10" s="4" t="s">
        <v>80</v>
      </c>
      <c r="F10" s="5" t="s">
        <v>99</v>
      </c>
      <c r="G10" s="5" t="s">
        <v>100</v>
      </c>
      <c r="H10" s="5" t="s">
        <v>101</v>
      </c>
      <c r="I10" s="5" t="s">
        <v>102</v>
      </c>
      <c r="J10" s="6" t="s">
        <v>9</v>
      </c>
      <c r="K10" s="6"/>
      <c r="L10" s="6"/>
      <c r="M10" s="7"/>
      <c r="N10" s="7"/>
      <c r="O10" s="6"/>
      <c r="P10" s="6"/>
    </row>
  </sheetData>
  <mergeCells count="2">
    <mergeCell ref="A1:P1"/>
    <mergeCell ref="A2:P2"/>
  </mergeCells>
  <conditionalFormatting sqref="D4:D10">
    <cfRule type="expression" dxfId="0" priority="1">
      <formula>$D4="P0"</formula>
    </cfRule>
    <cfRule type="expression" dxfId="1" priority="2">
      <formula>$D4="P1"</formula>
    </cfRule>
  </conditionalFormatting>
  <conditionalFormatting sqref="J4:J10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10">
    <cfRule type="expression" dxfId="2" priority="7">
      <formula>$K4="是"</formula>
    </cfRule>
    <cfRule type="expression" dxfId="0" priority="8">
      <formula>$K4="否"</formula>
    </cfRule>
  </conditionalFormatting>
  <conditionalFormatting sqref="L4:L10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10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10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10">
      <formula1>"P0,P1,P2,P3"</formula1>
    </dataValidation>
    <dataValidation type="list" allowBlank="1" errorTitle="输入无效" error="请选择下拉列表中的值" promptTitle="可选值" prompt="请从列表中选择" sqref="E4:E10">
      <formula1>"功能,流程,校验,权限,安全,异常"</formula1>
    </dataValidation>
    <dataValidation type="list" allowBlank="1" errorTitle="输入无效" error="请选择下拉列表中的值" promptTitle="可选值" prompt="请从列表中选择" sqref="J4:J10">
      <formula1>"未执行,通过,失败,阻塞,不适用"</formula1>
    </dataValidation>
    <dataValidation type="list" allowBlank="1" errorTitle="输入无效" error="请选择下拉列表中的值" promptTitle="可选值" prompt="请从列表中选择" sqref="K4:K10">
      <formula1>"是,否"</formula1>
    </dataValidation>
    <dataValidation type="list" allowBlank="1" errorTitle="输入无效" error="请选择下拉列表中的值" promptTitle="可选值" prompt="请从列表中选择" sqref="L4:L10">
      <formula1>"阻塞,高,中,低,轻微"</formula1>
    </dataValidation>
    <dataValidation type="list" allowBlank="1" errorTitle="输入无效" error="请选择下拉列表中的值" promptTitle="可选值" prompt="请从列表中选择" sqref="O4:O10">
      <formula1>"已完成,待讨论,暂不修复"</formula1>
    </dataValidation>
    <dataValidation type="list" allowBlank="1" errorTitle="输入无效" error="请选择下拉列表中的值" promptTitle="可选值" prompt="请从列表中选择" sqref="P4:P10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"/>
  <sheetViews>
    <sheetView showGridLines="0" workbookViewId="0">
      <pane xSplit="5" ySplit="3" topLeftCell="F4" activePane="bottomRight" state="frozen"/>
      <selection/>
      <selection pane="topRight"/>
      <selection pane="bottomLeft"/>
      <selection pane="bottomRight" activeCell="M8" sqref="M8"/>
    </sheetView>
  </sheetViews>
  <sheetFormatPr defaultColWidth="9" defaultRowHeight="16.8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112" customHeight="1" spans="1:16">
      <c r="A4" s="4" t="s">
        <v>104</v>
      </c>
      <c r="B4" s="4" t="s">
        <v>22</v>
      </c>
      <c r="C4" s="5" t="s">
        <v>105</v>
      </c>
      <c r="D4" s="4" t="s">
        <v>15</v>
      </c>
      <c r="E4" s="4" t="s">
        <v>106</v>
      </c>
      <c r="F4" s="5" t="s">
        <v>107</v>
      </c>
      <c r="G4" s="5" t="s">
        <v>108</v>
      </c>
      <c r="H4" s="5" t="s">
        <v>109</v>
      </c>
      <c r="I4" s="5" t="s">
        <v>110</v>
      </c>
      <c r="J4" s="6" t="s">
        <v>9</v>
      </c>
      <c r="K4" s="6" t="s">
        <v>64</v>
      </c>
      <c r="L4" s="6"/>
      <c r="M4" s="7"/>
      <c r="N4" s="7"/>
      <c r="O4" s="6"/>
      <c r="P4" s="6"/>
    </row>
    <row r="5" ht="112" customHeight="1" spans="1:16">
      <c r="A5" s="8" t="s">
        <v>111</v>
      </c>
      <c r="B5" s="8" t="s">
        <v>22</v>
      </c>
      <c r="C5" s="9" t="s">
        <v>112</v>
      </c>
      <c r="D5" s="8" t="s">
        <v>15</v>
      </c>
      <c r="E5" s="8" t="s">
        <v>106</v>
      </c>
      <c r="F5" s="9" t="s">
        <v>113</v>
      </c>
      <c r="G5" s="9" t="s">
        <v>114</v>
      </c>
      <c r="H5" s="9" t="s">
        <v>115</v>
      </c>
      <c r="I5" s="9" t="s">
        <v>116</v>
      </c>
      <c r="J5" s="6" t="s">
        <v>9</v>
      </c>
      <c r="K5" s="6" t="s">
        <v>64</v>
      </c>
      <c r="L5" s="6"/>
      <c r="M5" s="7"/>
      <c r="N5" s="7"/>
      <c r="O5" s="6"/>
      <c r="P5" s="6"/>
    </row>
    <row r="6" ht="112" customHeight="1" spans="1:16">
      <c r="A6" s="4" t="s">
        <v>117</v>
      </c>
      <c r="B6" s="4" t="s">
        <v>22</v>
      </c>
      <c r="C6" s="5" t="s">
        <v>118</v>
      </c>
      <c r="D6" s="4" t="s">
        <v>15</v>
      </c>
      <c r="E6" s="4" t="s">
        <v>106</v>
      </c>
      <c r="F6" s="5" t="s">
        <v>119</v>
      </c>
      <c r="G6" s="5" t="s">
        <v>120</v>
      </c>
      <c r="H6" s="5" t="s">
        <v>121</v>
      </c>
      <c r="I6" s="5" t="s">
        <v>122</v>
      </c>
      <c r="J6" s="6" t="s">
        <v>9</v>
      </c>
      <c r="K6" s="6" t="s">
        <v>64</v>
      </c>
      <c r="L6" s="6"/>
      <c r="M6" s="7"/>
      <c r="N6" s="7"/>
      <c r="O6" s="6"/>
      <c r="P6" s="6"/>
    </row>
    <row r="7" ht="97" customHeight="1" spans="1:16">
      <c r="A7" s="8" t="s">
        <v>123</v>
      </c>
      <c r="B7" s="8" t="s">
        <v>22</v>
      </c>
      <c r="C7" s="9" t="s">
        <v>124</v>
      </c>
      <c r="D7" s="8" t="s">
        <v>15</v>
      </c>
      <c r="E7" s="8" t="s">
        <v>125</v>
      </c>
      <c r="F7" s="9" t="s">
        <v>126</v>
      </c>
      <c r="G7" s="9" t="s">
        <v>127</v>
      </c>
      <c r="H7" s="9" t="s">
        <v>128</v>
      </c>
      <c r="I7" s="9" t="s">
        <v>129</v>
      </c>
      <c r="J7" s="6" t="s">
        <v>9</v>
      </c>
      <c r="K7" s="6" t="s">
        <v>64</v>
      </c>
      <c r="L7" s="6"/>
      <c r="M7" s="7"/>
      <c r="N7" s="7"/>
      <c r="O7" s="6"/>
      <c r="P7" s="6"/>
    </row>
    <row r="8" ht="112" customHeight="1" spans="1:16">
      <c r="A8" s="4" t="s">
        <v>130</v>
      </c>
      <c r="B8" s="4" t="s">
        <v>22</v>
      </c>
      <c r="C8" s="5" t="s">
        <v>131</v>
      </c>
      <c r="D8" s="4" t="s">
        <v>15</v>
      </c>
      <c r="E8" s="4" t="s">
        <v>59</v>
      </c>
      <c r="F8" s="5" t="s">
        <v>132</v>
      </c>
      <c r="G8" s="5" t="s">
        <v>133</v>
      </c>
      <c r="H8" s="5" t="s">
        <v>134</v>
      </c>
      <c r="I8" s="5" t="s">
        <v>135</v>
      </c>
      <c r="J8" s="6" t="s">
        <v>9</v>
      </c>
      <c r="K8" s="6" t="s">
        <v>136</v>
      </c>
      <c r="L8" s="6"/>
      <c r="M8" s="7" t="s">
        <v>137</v>
      </c>
      <c r="N8" s="7"/>
      <c r="O8" s="6"/>
      <c r="P8" s="6"/>
    </row>
    <row r="9" ht="112" customHeight="1" spans="1:16">
      <c r="A9" s="8" t="s">
        <v>138</v>
      </c>
      <c r="B9" s="8" t="s">
        <v>22</v>
      </c>
      <c r="C9" s="9" t="s">
        <v>139</v>
      </c>
      <c r="D9" s="8" t="s">
        <v>15</v>
      </c>
      <c r="E9" s="8" t="s">
        <v>80</v>
      </c>
      <c r="F9" s="9" t="s">
        <v>140</v>
      </c>
      <c r="G9" s="9" t="s">
        <v>141</v>
      </c>
      <c r="H9" s="9" t="s">
        <v>142</v>
      </c>
      <c r="I9" s="9" t="s">
        <v>143</v>
      </c>
      <c r="J9" s="6" t="s">
        <v>9</v>
      </c>
      <c r="K9" s="6" t="s">
        <v>64</v>
      </c>
      <c r="L9" s="6"/>
      <c r="M9" s="7"/>
      <c r="N9" s="7"/>
      <c r="O9" s="6"/>
      <c r="P9" s="6"/>
    </row>
  </sheetData>
  <mergeCells count="2">
    <mergeCell ref="A1:P1"/>
    <mergeCell ref="A2:P2"/>
  </mergeCells>
  <conditionalFormatting sqref="D4:D9">
    <cfRule type="expression" dxfId="0" priority="1">
      <formula>$D4="P0"</formula>
    </cfRule>
    <cfRule type="expression" dxfId="1" priority="2">
      <formula>$D4="P1"</formula>
    </cfRule>
  </conditionalFormatting>
  <conditionalFormatting sqref="J4:J9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9">
    <cfRule type="expression" dxfId="2" priority="7">
      <formula>$K4="是"</formula>
    </cfRule>
    <cfRule type="expression" dxfId="0" priority="8">
      <formula>$K4="否"</formula>
    </cfRule>
  </conditionalFormatting>
  <conditionalFormatting sqref="L4:L9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9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9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9">
      <formula1>"P0,P1,P2,P3"</formula1>
    </dataValidation>
    <dataValidation type="list" allowBlank="1" errorTitle="输入无效" error="请选择下拉列表中的值" promptTitle="可选值" prompt="请从列表中选择" sqref="E4:E9">
      <formula1>"功能,流程,校验,权限,安全,异常"</formula1>
    </dataValidation>
    <dataValidation type="list" allowBlank="1" errorTitle="输入无效" error="请选择下拉列表中的值" promptTitle="可选值" prompt="请从列表中选择" sqref="J4:J9">
      <formula1>"未执行,通过,失败,阻塞,不适用"</formula1>
    </dataValidation>
    <dataValidation type="list" allowBlank="1" errorTitle="输入无效" error="请选择下拉列表中的值" promptTitle="可选值" prompt="请从列表中选择" sqref="K4:K9">
      <formula1>"是,否"</formula1>
    </dataValidation>
    <dataValidation type="list" allowBlank="1" errorTitle="输入无效" error="请选择下拉列表中的值" promptTitle="可选值" prompt="请从列表中选择" sqref="L4:L9">
      <formula1>"阻塞,高,中,低,轻微"</formula1>
    </dataValidation>
    <dataValidation type="list" allowBlank="1" errorTitle="输入无效" error="请选择下拉列表中的值" promptTitle="可选值" prompt="请从列表中选择" sqref="O4:O9">
      <formula1>"已完成,待讨论,暂不修复"</formula1>
    </dataValidation>
    <dataValidation type="list" allowBlank="1" errorTitle="输入无效" error="请选择下拉列表中的值" promptTitle="可选值" prompt="请从列表中选择" sqref="P4:P9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"/>
  <sheetViews>
    <sheetView showGridLines="0" workbookViewId="0">
      <pane xSplit="5" ySplit="3" topLeftCell="F4" activePane="bottomRight" state="frozen"/>
      <selection/>
      <selection pane="topRight"/>
      <selection pane="bottomLeft"/>
      <selection pane="bottomRight" activeCell="K8" sqref="K8"/>
    </sheetView>
  </sheetViews>
  <sheetFormatPr defaultColWidth="9" defaultRowHeight="16.8" outlineLevelRow="7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112" customHeight="1" spans="1:16">
      <c r="A4" s="4" t="s">
        <v>145</v>
      </c>
      <c r="B4" s="4" t="s">
        <v>23</v>
      </c>
      <c r="C4" s="5" t="s">
        <v>146</v>
      </c>
      <c r="D4" s="4" t="s">
        <v>15</v>
      </c>
      <c r="E4" s="4" t="s">
        <v>106</v>
      </c>
      <c r="F4" s="5" t="s">
        <v>147</v>
      </c>
      <c r="G4" s="5" t="s">
        <v>148</v>
      </c>
      <c r="H4" s="5" t="s">
        <v>149</v>
      </c>
      <c r="I4" s="5" t="s">
        <v>150</v>
      </c>
      <c r="J4" s="6" t="s">
        <v>9</v>
      </c>
      <c r="K4" s="6" t="s">
        <v>64</v>
      </c>
      <c r="L4" s="6"/>
      <c r="M4" s="7"/>
      <c r="N4" s="7"/>
      <c r="O4" s="6"/>
      <c r="P4" s="6"/>
    </row>
    <row r="5" ht="112" customHeight="1" spans="1:16">
      <c r="A5" s="8" t="s">
        <v>151</v>
      </c>
      <c r="B5" s="8" t="s">
        <v>23</v>
      </c>
      <c r="C5" s="9" t="s">
        <v>152</v>
      </c>
      <c r="D5" s="8" t="s">
        <v>15</v>
      </c>
      <c r="E5" s="8" t="s">
        <v>106</v>
      </c>
      <c r="F5" s="9" t="s">
        <v>153</v>
      </c>
      <c r="G5" s="9" t="s">
        <v>154</v>
      </c>
      <c r="H5" s="9" t="s">
        <v>155</v>
      </c>
      <c r="I5" s="9" t="s">
        <v>156</v>
      </c>
      <c r="J5" s="6" t="s">
        <v>9</v>
      </c>
      <c r="K5" s="6" t="s">
        <v>64</v>
      </c>
      <c r="L5" s="6"/>
      <c r="M5" s="7"/>
      <c r="N5" s="7"/>
      <c r="O5" s="6"/>
      <c r="P5" s="6"/>
    </row>
    <row r="6" ht="112" customHeight="1" spans="1:16">
      <c r="A6" s="4" t="s">
        <v>157</v>
      </c>
      <c r="B6" s="4" t="s">
        <v>23</v>
      </c>
      <c r="C6" s="5" t="s">
        <v>158</v>
      </c>
      <c r="D6" s="4" t="s">
        <v>15</v>
      </c>
      <c r="E6" s="4" t="s">
        <v>125</v>
      </c>
      <c r="F6" s="5" t="s">
        <v>147</v>
      </c>
      <c r="G6" s="5" t="s">
        <v>159</v>
      </c>
      <c r="H6" s="5" t="s">
        <v>160</v>
      </c>
      <c r="I6" s="5" t="s">
        <v>161</v>
      </c>
      <c r="J6" s="6" t="s">
        <v>9</v>
      </c>
      <c r="K6" s="6" t="s">
        <v>64</v>
      </c>
      <c r="L6" s="6"/>
      <c r="M6" s="7"/>
      <c r="N6" s="7"/>
      <c r="O6" s="6"/>
      <c r="P6" s="6"/>
    </row>
    <row r="7" ht="112" customHeight="1" spans="1:16">
      <c r="A7" s="8" t="s">
        <v>162</v>
      </c>
      <c r="B7" s="8" t="s">
        <v>23</v>
      </c>
      <c r="C7" s="9" t="s">
        <v>163</v>
      </c>
      <c r="D7" s="8" t="s">
        <v>15</v>
      </c>
      <c r="E7" s="8" t="s">
        <v>80</v>
      </c>
      <c r="F7" s="9" t="s">
        <v>164</v>
      </c>
      <c r="G7" s="9" t="s">
        <v>165</v>
      </c>
      <c r="H7" s="9" t="s">
        <v>166</v>
      </c>
      <c r="I7" s="9" t="s">
        <v>167</v>
      </c>
      <c r="J7" s="6" t="s">
        <v>9</v>
      </c>
      <c r="K7" s="6" t="s">
        <v>64</v>
      </c>
      <c r="L7" s="6"/>
      <c r="M7" s="7"/>
      <c r="N7" s="7"/>
      <c r="O7" s="6"/>
      <c r="P7" s="6"/>
    </row>
    <row r="8" ht="112" customHeight="1" spans="1:16">
      <c r="A8" s="4" t="s">
        <v>168</v>
      </c>
      <c r="B8" s="4" t="s">
        <v>23</v>
      </c>
      <c r="C8" s="5" t="s">
        <v>169</v>
      </c>
      <c r="D8" s="4" t="s">
        <v>15</v>
      </c>
      <c r="E8" s="4" t="s">
        <v>106</v>
      </c>
      <c r="F8" s="5" t="s">
        <v>170</v>
      </c>
      <c r="G8" s="5" t="s">
        <v>171</v>
      </c>
      <c r="H8" s="5" t="s">
        <v>172</v>
      </c>
      <c r="I8" s="5" t="s">
        <v>173</v>
      </c>
      <c r="J8" s="6" t="s">
        <v>9</v>
      </c>
      <c r="K8" s="6" t="s">
        <v>64</v>
      </c>
      <c r="L8" s="6"/>
      <c r="M8" s="7"/>
      <c r="N8" s="7"/>
      <c r="O8" s="6"/>
      <c r="P8" s="6"/>
    </row>
  </sheetData>
  <mergeCells count="2">
    <mergeCell ref="A1:P1"/>
    <mergeCell ref="A2:P2"/>
  </mergeCells>
  <conditionalFormatting sqref="D4:D8">
    <cfRule type="expression" dxfId="0" priority="1">
      <formula>$D4="P0"</formula>
    </cfRule>
    <cfRule type="expression" dxfId="1" priority="2">
      <formula>$D4="P1"</formula>
    </cfRule>
  </conditionalFormatting>
  <conditionalFormatting sqref="J4:J8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8">
    <cfRule type="expression" dxfId="2" priority="7">
      <formula>$K4="是"</formula>
    </cfRule>
    <cfRule type="expression" dxfId="0" priority="8">
      <formula>$K4="否"</formula>
    </cfRule>
  </conditionalFormatting>
  <conditionalFormatting sqref="L4:L8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8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8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8">
      <formula1>"P0,P1,P2,P3"</formula1>
    </dataValidation>
    <dataValidation type="list" allowBlank="1" errorTitle="输入无效" error="请选择下拉列表中的值" promptTitle="可选值" prompt="请从列表中选择" sqref="E4:E8">
      <formula1>"功能,流程,校验,权限,安全,异常"</formula1>
    </dataValidation>
    <dataValidation type="list" allowBlank="1" errorTitle="输入无效" error="请选择下拉列表中的值" promptTitle="可选值" prompt="请从列表中选择" sqref="J4:J8">
      <formula1>"未执行,通过,失败,阻塞,不适用"</formula1>
    </dataValidation>
    <dataValidation type="list" allowBlank="1" errorTitle="输入无效" error="请选择下拉列表中的值" promptTitle="可选值" prompt="请从列表中选择" sqref="K4:K8">
      <formula1>"是,否"</formula1>
    </dataValidation>
    <dataValidation type="list" allowBlank="1" errorTitle="输入无效" error="请选择下拉列表中的值" promptTitle="可选值" prompt="请从列表中选择" sqref="L4:L8">
      <formula1>"阻塞,高,中,低,轻微"</formula1>
    </dataValidation>
    <dataValidation type="list" allowBlank="1" errorTitle="输入无效" error="请选择下拉列表中的值" promptTitle="可选值" prompt="请从列表中选择" sqref="O4:O8">
      <formula1>"已完成,待讨论,暂不修复"</formula1>
    </dataValidation>
    <dataValidation type="list" allowBlank="1" errorTitle="输入无效" error="请选择下拉列表中的值" promptTitle="可选值" prompt="请从列表中选择" sqref="P4:P8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1"/>
  <sheetViews>
    <sheetView showGridLines="0" workbookViewId="0">
      <pane xSplit="5" ySplit="3" topLeftCell="F5" activePane="bottomRight" state="frozen"/>
      <selection/>
      <selection pane="topRight"/>
      <selection pane="bottomLeft"/>
      <selection pane="bottomRight" activeCell="K11" sqref="K11"/>
    </sheetView>
  </sheetViews>
  <sheetFormatPr defaultColWidth="9" defaultRowHeight="16.8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112" customHeight="1" spans="1:16">
      <c r="A4" s="4" t="s">
        <v>175</v>
      </c>
      <c r="B4" s="4" t="s">
        <v>24</v>
      </c>
      <c r="C4" s="5" t="s">
        <v>176</v>
      </c>
      <c r="D4" s="4" t="s">
        <v>15</v>
      </c>
      <c r="E4" s="4" t="s">
        <v>106</v>
      </c>
      <c r="F4" s="5" t="s">
        <v>177</v>
      </c>
      <c r="G4" s="5" t="s">
        <v>178</v>
      </c>
      <c r="H4" s="5" t="s">
        <v>179</v>
      </c>
      <c r="I4" s="5" t="s">
        <v>180</v>
      </c>
      <c r="J4" s="6" t="s">
        <v>9</v>
      </c>
      <c r="K4" s="6" t="s">
        <v>64</v>
      </c>
      <c r="L4" s="6"/>
      <c r="M4" s="7"/>
      <c r="N4" s="7"/>
      <c r="O4" s="6"/>
      <c r="P4" s="6"/>
    </row>
    <row r="5" ht="112" customHeight="1" spans="1:16">
      <c r="A5" s="8" t="s">
        <v>181</v>
      </c>
      <c r="B5" s="8" t="s">
        <v>24</v>
      </c>
      <c r="C5" s="9" t="s">
        <v>182</v>
      </c>
      <c r="D5" s="8" t="s">
        <v>15</v>
      </c>
      <c r="E5" s="8" t="s">
        <v>125</v>
      </c>
      <c r="F5" s="9" t="s">
        <v>183</v>
      </c>
      <c r="G5" s="9" t="s">
        <v>184</v>
      </c>
      <c r="H5" s="9" t="s">
        <v>185</v>
      </c>
      <c r="I5" s="9" t="s">
        <v>186</v>
      </c>
      <c r="J5" s="6" t="s">
        <v>9</v>
      </c>
      <c r="K5" s="6" t="s">
        <v>64</v>
      </c>
      <c r="L5" s="6"/>
      <c r="M5" s="7"/>
      <c r="N5" s="7"/>
      <c r="O5" s="6"/>
      <c r="P5" s="6"/>
    </row>
    <row r="6" ht="112" customHeight="1" spans="1:16">
      <c r="A6" s="4" t="s">
        <v>187</v>
      </c>
      <c r="B6" s="4" t="s">
        <v>24</v>
      </c>
      <c r="C6" s="5" t="s">
        <v>188</v>
      </c>
      <c r="D6" s="4" t="s">
        <v>15</v>
      </c>
      <c r="E6" s="4" t="s">
        <v>80</v>
      </c>
      <c r="F6" s="5" t="s">
        <v>189</v>
      </c>
      <c r="G6" s="5" t="s">
        <v>190</v>
      </c>
      <c r="H6" s="5" t="s">
        <v>191</v>
      </c>
      <c r="I6" s="5" t="s">
        <v>192</v>
      </c>
      <c r="J6" s="6" t="s">
        <v>9</v>
      </c>
      <c r="K6" s="6" t="s">
        <v>64</v>
      </c>
      <c r="L6" s="6"/>
      <c r="M6" s="7"/>
      <c r="N6" s="7"/>
      <c r="O6" s="6"/>
      <c r="P6" s="6"/>
    </row>
    <row r="7" ht="112" customHeight="1" spans="1:16">
      <c r="A7" s="8" t="s">
        <v>193</v>
      </c>
      <c r="B7" s="8" t="s">
        <v>24</v>
      </c>
      <c r="C7" s="9" t="s">
        <v>194</v>
      </c>
      <c r="D7" s="8" t="s">
        <v>15</v>
      </c>
      <c r="E7" s="8" t="s">
        <v>125</v>
      </c>
      <c r="F7" s="9" t="s">
        <v>195</v>
      </c>
      <c r="G7" s="9" t="s">
        <v>196</v>
      </c>
      <c r="H7" s="9" t="s">
        <v>197</v>
      </c>
      <c r="I7" s="9" t="s">
        <v>198</v>
      </c>
      <c r="J7" s="6" t="s">
        <v>9</v>
      </c>
      <c r="K7" s="6" t="s">
        <v>64</v>
      </c>
      <c r="L7" s="6"/>
      <c r="M7" s="7"/>
      <c r="N7" s="7"/>
      <c r="O7" s="6"/>
      <c r="P7" s="6"/>
    </row>
    <row r="8" ht="112" customHeight="1" spans="1:16">
      <c r="A8" s="4" t="s">
        <v>199</v>
      </c>
      <c r="B8" s="4" t="s">
        <v>24</v>
      </c>
      <c r="C8" s="5" t="s">
        <v>200</v>
      </c>
      <c r="D8" s="4" t="s">
        <v>15</v>
      </c>
      <c r="E8" s="4" t="s">
        <v>106</v>
      </c>
      <c r="F8" s="5" t="s">
        <v>201</v>
      </c>
      <c r="G8" s="5" t="s">
        <v>202</v>
      </c>
      <c r="H8" s="5" t="s">
        <v>203</v>
      </c>
      <c r="I8" s="5" t="s">
        <v>204</v>
      </c>
      <c r="J8" s="6" t="s">
        <v>9</v>
      </c>
      <c r="K8" s="6" t="s">
        <v>64</v>
      </c>
      <c r="L8" s="6"/>
      <c r="M8" s="7"/>
      <c r="N8" s="7" t="s">
        <v>205</v>
      </c>
      <c r="O8" s="6"/>
      <c r="P8" s="6"/>
    </row>
    <row r="9" ht="112" customHeight="1" spans="1:16">
      <c r="A9" s="8" t="s">
        <v>206</v>
      </c>
      <c r="B9" s="8" t="s">
        <v>24</v>
      </c>
      <c r="C9" s="9" t="s">
        <v>207</v>
      </c>
      <c r="D9" s="8" t="s">
        <v>15</v>
      </c>
      <c r="E9" s="8" t="s">
        <v>106</v>
      </c>
      <c r="F9" s="9" t="s">
        <v>208</v>
      </c>
      <c r="G9" s="9" t="s">
        <v>209</v>
      </c>
      <c r="H9" s="9" t="s">
        <v>210</v>
      </c>
      <c r="I9" s="9" t="s">
        <v>211</v>
      </c>
      <c r="J9" s="6" t="s">
        <v>9</v>
      </c>
      <c r="K9" s="6" t="s">
        <v>64</v>
      </c>
      <c r="L9" s="6"/>
      <c r="M9" s="7"/>
      <c r="N9" s="7"/>
      <c r="O9" s="6"/>
      <c r="P9" s="6"/>
    </row>
    <row r="10" ht="112" customHeight="1" spans="1:16">
      <c r="A10" s="4" t="s">
        <v>212</v>
      </c>
      <c r="B10" s="4" t="s">
        <v>24</v>
      </c>
      <c r="C10" s="5" t="s">
        <v>213</v>
      </c>
      <c r="D10" s="4" t="s">
        <v>15</v>
      </c>
      <c r="E10" s="4" t="s">
        <v>106</v>
      </c>
      <c r="F10" s="5" t="s">
        <v>214</v>
      </c>
      <c r="G10" s="5" t="s">
        <v>215</v>
      </c>
      <c r="H10" s="5" t="s">
        <v>216</v>
      </c>
      <c r="I10" s="5" t="s">
        <v>217</v>
      </c>
      <c r="J10" s="6" t="s">
        <v>9</v>
      </c>
      <c r="K10" s="6" t="s">
        <v>64</v>
      </c>
      <c r="L10" s="6"/>
      <c r="M10" s="7"/>
      <c r="N10" s="7"/>
      <c r="O10" s="6"/>
      <c r="P10" s="6"/>
    </row>
    <row r="11" ht="112" customHeight="1" spans="1:16">
      <c r="A11" s="8" t="s">
        <v>218</v>
      </c>
      <c r="B11" s="8" t="s">
        <v>24</v>
      </c>
      <c r="C11" s="9" t="s">
        <v>219</v>
      </c>
      <c r="D11" s="8" t="s">
        <v>15</v>
      </c>
      <c r="E11" s="8" t="s">
        <v>80</v>
      </c>
      <c r="F11" s="9" t="s">
        <v>220</v>
      </c>
      <c r="G11" s="9" t="s">
        <v>221</v>
      </c>
      <c r="H11" s="9" t="s">
        <v>222</v>
      </c>
      <c r="I11" s="9" t="s">
        <v>223</v>
      </c>
      <c r="J11" s="6" t="s">
        <v>9</v>
      </c>
      <c r="K11" s="6" t="s">
        <v>64</v>
      </c>
      <c r="L11" s="6"/>
      <c r="M11" s="7"/>
      <c r="N11" s="7"/>
      <c r="O11" s="6"/>
      <c r="P11" s="6"/>
    </row>
  </sheetData>
  <mergeCells count="2">
    <mergeCell ref="A1:P1"/>
    <mergeCell ref="A2:P2"/>
  </mergeCells>
  <conditionalFormatting sqref="D4:D11">
    <cfRule type="expression" dxfId="0" priority="1">
      <formula>$D4="P0"</formula>
    </cfRule>
    <cfRule type="expression" dxfId="1" priority="2">
      <formula>$D4="P1"</formula>
    </cfRule>
  </conditionalFormatting>
  <conditionalFormatting sqref="J4:J11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11">
    <cfRule type="expression" dxfId="2" priority="7">
      <formula>$K4="是"</formula>
    </cfRule>
    <cfRule type="expression" dxfId="0" priority="8">
      <formula>$K4="否"</formula>
    </cfRule>
  </conditionalFormatting>
  <conditionalFormatting sqref="L4:L11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11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11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11">
      <formula1>"P0,P1,P2,P3"</formula1>
    </dataValidation>
    <dataValidation type="list" allowBlank="1" errorTitle="输入无效" error="请选择下拉列表中的值" promptTitle="可选值" prompt="请从列表中选择" sqref="E4:E11">
      <formula1>"功能,流程,校验,权限,安全,异常"</formula1>
    </dataValidation>
    <dataValidation type="list" allowBlank="1" errorTitle="输入无效" error="请选择下拉列表中的值" promptTitle="可选值" prompt="请从列表中选择" sqref="J4:J11">
      <formula1>"未执行,通过,失败,阻塞,不适用"</formula1>
    </dataValidation>
    <dataValidation type="list" allowBlank="1" errorTitle="输入无效" error="请选择下拉列表中的值" promptTitle="可选值" prompt="请从列表中选择" sqref="K4:K11">
      <formula1>"是,否"</formula1>
    </dataValidation>
    <dataValidation type="list" allowBlank="1" errorTitle="输入无效" error="请选择下拉列表中的值" promptTitle="可选值" prompt="请从列表中选择" sqref="L4:L11">
      <formula1>"阻塞,高,中,低,轻微"</formula1>
    </dataValidation>
    <dataValidation type="list" allowBlank="1" errorTitle="输入无效" error="请选择下拉列表中的值" promptTitle="可选值" prompt="请从列表中选择" sqref="O4:O11">
      <formula1>"已完成,待讨论,暂不修复"</formula1>
    </dataValidation>
    <dataValidation type="list" allowBlank="1" errorTitle="输入无效" error="请选择下拉列表中的值" promptTitle="可选值" prompt="请从列表中选择" sqref="P4:P11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"/>
  <sheetViews>
    <sheetView showGridLines="0" workbookViewId="0">
      <pane xSplit="5" ySplit="3" topLeftCell="F4" activePane="bottomRight" state="frozen"/>
      <selection/>
      <selection pane="topRight"/>
      <selection pane="bottomLeft"/>
      <selection pane="bottomRight" activeCell="K6" sqref="K6"/>
    </sheetView>
  </sheetViews>
  <sheetFormatPr defaultColWidth="9" defaultRowHeight="16.8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112" customHeight="1" spans="1:16">
      <c r="A4" s="4" t="s">
        <v>225</v>
      </c>
      <c r="B4" s="4" t="s">
        <v>25</v>
      </c>
      <c r="C4" s="5" t="s">
        <v>226</v>
      </c>
      <c r="D4" s="4" t="s">
        <v>15</v>
      </c>
      <c r="E4" s="4" t="s">
        <v>59</v>
      </c>
      <c r="F4" s="5" t="s">
        <v>227</v>
      </c>
      <c r="G4" s="5" t="s">
        <v>228</v>
      </c>
      <c r="H4" s="5" t="s">
        <v>229</v>
      </c>
      <c r="I4" s="5" t="s">
        <v>230</v>
      </c>
      <c r="J4" s="6" t="s">
        <v>9</v>
      </c>
      <c r="K4" s="6" t="s">
        <v>64</v>
      </c>
      <c r="L4" s="6"/>
      <c r="M4" s="7"/>
      <c r="N4" s="7"/>
      <c r="O4" s="6"/>
      <c r="P4" s="6"/>
    </row>
    <row r="5" ht="112" customHeight="1" spans="1:16">
      <c r="A5" s="8" t="s">
        <v>231</v>
      </c>
      <c r="B5" s="8" t="s">
        <v>25</v>
      </c>
      <c r="C5" s="9" t="s">
        <v>232</v>
      </c>
      <c r="D5" s="8" t="s">
        <v>15</v>
      </c>
      <c r="E5" s="8" t="s">
        <v>106</v>
      </c>
      <c r="F5" s="9" t="s">
        <v>233</v>
      </c>
      <c r="G5" s="9" t="s">
        <v>234</v>
      </c>
      <c r="H5" s="9" t="s">
        <v>235</v>
      </c>
      <c r="I5" s="9" t="s">
        <v>236</v>
      </c>
      <c r="J5" s="6" t="s">
        <v>9</v>
      </c>
      <c r="K5" s="6" t="s">
        <v>64</v>
      </c>
      <c r="L5" s="6"/>
      <c r="M5" s="7"/>
      <c r="N5" s="7"/>
      <c r="O5" s="6"/>
      <c r="P5" s="6"/>
    </row>
    <row r="6" ht="112" customHeight="1" spans="1:16">
      <c r="A6" s="4" t="s">
        <v>237</v>
      </c>
      <c r="B6" s="4" t="s">
        <v>25</v>
      </c>
      <c r="C6" s="5" t="s">
        <v>238</v>
      </c>
      <c r="D6" s="4" t="s">
        <v>15</v>
      </c>
      <c r="E6" s="4" t="s">
        <v>59</v>
      </c>
      <c r="F6" s="5" t="s">
        <v>239</v>
      </c>
      <c r="G6" s="5" t="s">
        <v>240</v>
      </c>
      <c r="H6" s="5" t="s">
        <v>241</v>
      </c>
      <c r="I6" s="5" t="s">
        <v>242</v>
      </c>
      <c r="J6" s="6" t="s">
        <v>9</v>
      </c>
      <c r="K6" s="6" t="s">
        <v>64</v>
      </c>
      <c r="L6" s="6"/>
      <c r="M6" s="7"/>
      <c r="N6" s="7"/>
      <c r="O6" s="6"/>
      <c r="P6" s="6"/>
    </row>
    <row r="7" ht="112" customHeight="1" spans="1:16">
      <c r="A7" s="8" t="s">
        <v>243</v>
      </c>
      <c r="B7" s="8" t="s">
        <v>25</v>
      </c>
      <c r="C7" s="9" t="s">
        <v>244</v>
      </c>
      <c r="D7" s="8" t="s">
        <v>15</v>
      </c>
      <c r="E7" s="8" t="s">
        <v>106</v>
      </c>
      <c r="F7" s="9" t="s">
        <v>245</v>
      </c>
      <c r="G7" s="9" t="s">
        <v>246</v>
      </c>
      <c r="H7" s="9" t="s">
        <v>247</v>
      </c>
      <c r="I7" s="9" t="s">
        <v>248</v>
      </c>
      <c r="J7" s="6" t="s">
        <v>9</v>
      </c>
      <c r="K7" s="6" t="s">
        <v>64</v>
      </c>
      <c r="L7" s="6"/>
      <c r="M7" s="7"/>
      <c r="N7" s="7"/>
      <c r="O7" s="6"/>
      <c r="P7" s="6"/>
    </row>
    <row r="8" ht="112" customHeight="1" spans="1:16">
      <c r="A8" s="4" t="s">
        <v>249</v>
      </c>
      <c r="B8" s="4" t="s">
        <v>25</v>
      </c>
      <c r="C8" s="5" t="s">
        <v>250</v>
      </c>
      <c r="D8" s="4" t="s">
        <v>15</v>
      </c>
      <c r="E8" s="4" t="s">
        <v>59</v>
      </c>
      <c r="F8" s="5" t="s">
        <v>251</v>
      </c>
      <c r="G8" s="5" t="s">
        <v>252</v>
      </c>
      <c r="H8" s="5" t="s">
        <v>253</v>
      </c>
      <c r="I8" s="5" t="s">
        <v>254</v>
      </c>
      <c r="J8" s="6" t="s">
        <v>9</v>
      </c>
      <c r="K8" s="6" t="s">
        <v>64</v>
      </c>
      <c r="L8" s="6"/>
      <c r="M8" s="7"/>
      <c r="N8" s="7"/>
      <c r="O8" s="6"/>
      <c r="P8" s="6"/>
    </row>
    <row r="9" ht="112" customHeight="1" spans="1:16">
      <c r="A9" s="8" t="s">
        <v>255</v>
      </c>
      <c r="B9" s="8" t="s">
        <v>25</v>
      </c>
      <c r="C9" s="9" t="s">
        <v>256</v>
      </c>
      <c r="D9" s="8" t="s">
        <v>15</v>
      </c>
      <c r="E9" s="8" t="s">
        <v>80</v>
      </c>
      <c r="F9" s="9" t="s">
        <v>257</v>
      </c>
      <c r="G9" s="9" t="s">
        <v>258</v>
      </c>
      <c r="H9" s="9" t="s">
        <v>259</v>
      </c>
      <c r="I9" s="9" t="s">
        <v>260</v>
      </c>
      <c r="J9" s="6" t="s">
        <v>9</v>
      </c>
      <c r="K9" s="6"/>
      <c r="L9" s="6"/>
      <c r="M9" s="7"/>
      <c r="N9" s="7"/>
      <c r="O9" s="6"/>
      <c r="P9" s="6"/>
    </row>
  </sheetData>
  <mergeCells count="2">
    <mergeCell ref="A1:P1"/>
    <mergeCell ref="A2:P2"/>
  </mergeCells>
  <conditionalFormatting sqref="D4:D9">
    <cfRule type="expression" dxfId="0" priority="1">
      <formula>$D4="P0"</formula>
    </cfRule>
    <cfRule type="expression" dxfId="1" priority="2">
      <formula>$D4="P1"</formula>
    </cfRule>
  </conditionalFormatting>
  <conditionalFormatting sqref="J4:J9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9">
    <cfRule type="expression" dxfId="2" priority="7">
      <formula>$K4="是"</formula>
    </cfRule>
    <cfRule type="expression" dxfId="0" priority="8">
      <formula>$K4="否"</formula>
    </cfRule>
  </conditionalFormatting>
  <conditionalFormatting sqref="L4:L9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9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9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9">
      <formula1>"P0,P1,P2,P3"</formula1>
    </dataValidation>
    <dataValidation type="list" allowBlank="1" errorTitle="输入无效" error="请选择下拉列表中的值" promptTitle="可选值" prompt="请从列表中选择" sqref="E4:E9">
      <formula1>"功能,流程,校验,权限,安全,异常"</formula1>
    </dataValidation>
    <dataValidation type="list" allowBlank="1" errorTitle="输入无效" error="请选择下拉列表中的值" promptTitle="可选值" prompt="请从列表中选择" sqref="J4:J9">
      <formula1>"未执行,通过,失败,阻塞,不适用"</formula1>
    </dataValidation>
    <dataValidation type="list" allowBlank="1" errorTitle="输入无效" error="请选择下拉列表中的值" promptTitle="可选值" prompt="请从列表中选择" sqref="K4:K9">
      <formula1>"是,否"</formula1>
    </dataValidation>
    <dataValidation type="list" allowBlank="1" errorTitle="输入无效" error="请选择下拉列表中的值" promptTitle="可选值" prompt="请从列表中选择" sqref="L4:L9">
      <formula1>"阻塞,高,中,低,轻微"</formula1>
    </dataValidation>
    <dataValidation type="list" allowBlank="1" errorTitle="输入无效" error="请选择下拉列表中的值" promptTitle="可选值" prompt="请从列表中选择" sqref="O4:O9">
      <formula1>"已完成,待讨论,暂不修复"</formula1>
    </dataValidation>
    <dataValidation type="list" allowBlank="1" errorTitle="输入无效" error="请选择下拉列表中的值" promptTitle="可选值" prompt="请从列表中选择" sqref="P4:P9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3"/>
  <sheetViews>
    <sheetView showGridLines="0" tabSelected="1" workbookViewId="0">
      <pane xSplit="5" ySplit="3" topLeftCell="F7" activePane="bottomRight" state="frozen"/>
      <selection/>
      <selection pane="topRight"/>
      <selection pane="bottomLeft"/>
      <selection pane="bottomRight" activeCell="K13" sqref="K13"/>
    </sheetView>
  </sheetViews>
  <sheetFormatPr defaultColWidth="9" defaultRowHeight="16.8"/>
  <cols>
    <col min="1" max="1" width="16" customWidth="1"/>
    <col min="2" max="2" width="18" customWidth="1"/>
    <col min="3" max="3" width="34" customWidth="1"/>
    <col min="4" max="4" width="10" customWidth="1"/>
    <col min="5" max="5" width="12" customWidth="1"/>
    <col min="6" max="7" width="34" customWidth="1"/>
    <col min="8" max="8" width="54" customWidth="1"/>
    <col min="9" max="9" width="56" customWidth="1"/>
    <col min="10" max="12" width="12" customWidth="1"/>
    <col min="13" max="13" width="30" customWidth="1"/>
    <col min="14" max="14" width="28" customWidth="1"/>
    <col min="15" max="16" width="14" customWidth="1"/>
  </cols>
  <sheetData>
    <row r="1" ht="34" customHeight="1" spans="1:16">
      <c r="A1" s="1" t="s">
        <v>261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6" customHeight="1" spans="1:16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36" customHeight="1" spans="1:16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</row>
    <row r="4" ht="112" customHeight="1" spans="1:16">
      <c r="A4" s="4" t="s">
        <v>262</v>
      </c>
      <c r="B4" s="4" t="s">
        <v>26</v>
      </c>
      <c r="C4" s="5" t="s">
        <v>263</v>
      </c>
      <c r="D4" s="4" t="s">
        <v>15</v>
      </c>
      <c r="E4" s="4" t="s">
        <v>59</v>
      </c>
      <c r="F4" s="5" t="s">
        <v>264</v>
      </c>
      <c r="G4" s="5" t="s">
        <v>265</v>
      </c>
      <c r="H4" s="5" t="s">
        <v>266</v>
      </c>
      <c r="I4" s="5" t="s">
        <v>267</v>
      </c>
      <c r="J4" s="6" t="s">
        <v>9</v>
      </c>
      <c r="K4" s="6" t="s">
        <v>64</v>
      </c>
      <c r="L4" s="6"/>
      <c r="M4" s="7"/>
      <c r="N4" s="7"/>
      <c r="O4" s="6"/>
      <c r="P4" s="6"/>
    </row>
    <row r="5" ht="112" customHeight="1" spans="1:16">
      <c r="A5" s="8" t="s">
        <v>268</v>
      </c>
      <c r="B5" s="8" t="s">
        <v>26</v>
      </c>
      <c r="C5" s="9" t="s">
        <v>269</v>
      </c>
      <c r="D5" s="8" t="s">
        <v>15</v>
      </c>
      <c r="E5" s="8" t="s">
        <v>106</v>
      </c>
      <c r="F5" s="9" t="s">
        <v>270</v>
      </c>
      <c r="G5" s="9" t="s">
        <v>271</v>
      </c>
      <c r="H5" s="9" t="s">
        <v>272</v>
      </c>
      <c r="I5" s="9" t="s">
        <v>273</v>
      </c>
      <c r="J5" s="6" t="s">
        <v>9</v>
      </c>
      <c r="K5" s="6" t="s">
        <v>136</v>
      </c>
      <c r="L5" s="6"/>
      <c r="M5" s="7" t="s">
        <v>274</v>
      </c>
      <c r="N5" s="7"/>
      <c r="O5" s="6"/>
      <c r="P5" s="6"/>
    </row>
    <row r="6" ht="112" customHeight="1" spans="1:16">
      <c r="A6" s="4" t="s">
        <v>275</v>
      </c>
      <c r="B6" s="4" t="s">
        <v>26</v>
      </c>
      <c r="C6" s="5" t="s">
        <v>276</v>
      </c>
      <c r="D6" s="4" t="s">
        <v>15</v>
      </c>
      <c r="E6" s="4" t="s">
        <v>59</v>
      </c>
      <c r="F6" s="5" t="s">
        <v>277</v>
      </c>
      <c r="G6" s="5" t="s">
        <v>278</v>
      </c>
      <c r="H6" s="5" t="s">
        <v>279</v>
      </c>
      <c r="I6" s="5" t="s">
        <v>280</v>
      </c>
      <c r="J6" s="6" t="s">
        <v>9</v>
      </c>
      <c r="K6" s="6"/>
      <c r="L6" s="6"/>
      <c r="M6" s="7"/>
      <c r="N6" s="7"/>
      <c r="O6" s="6"/>
      <c r="P6" s="6"/>
    </row>
    <row r="7" ht="112" customHeight="1" spans="1:16">
      <c r="A7" s="8" t="s">
        <v>281</v>
      </c>
      <c r="B7" s="8" t="s">
        <v>26</v>
      </c>
      <c r="C7" s="9" t="s">
        <v>282</v>
      </c>
      <c r="D7" s="8" t="s">
        <v>15</v>
      </c>
      <c r="E7" s="8" t="s">
        <v>59</v>
      </c>
      <c r="F7" s="9" t="s">
        <v>283</v>
      </c>
      <c r="G7" s="9" t="s">
        <v>284</v>
      </c>
      <c r="H7" s="9" t="s">
        <v>285</v>
      </c>
      <c r="I7" s="9" t="s">
        <v>286</v>
      </c>
      <c r="J7" s="6" t="s">
        <v>9</v>
      </c>
      <c r="K7" s="6"/>
      <c r="L7" s="6"/>
      <c r="M7" s="7"/>
      <c r="N7" s="7"/>
      <c r="O7" s="6"/>
      <c r="P7" s="6"/>
    </row>
    <row r="8" ht="112" customHeight="1" spans="1:16">
      <c r="A8" s="4" t="s">
        <v>287</v>
      </c>
      <c r="B8" s="4" t="s">
        <v>26</v>
      </c>
      <c r="C8" s="5" t="s">
        <v>288</v>
      </c>
      <c r="D8" s="4" t="s">
        <v>15</v>
      </c>
      <c r="E8" s="4" t="s">
        <v>80</v>
      </c>
      <c r="F8" s="5" t="s">
        <v>289</v>
      </c>
      <c r="G8" s="5" t="s">
        <v>290</v>
      </c>
      <c r="H8" s="5" t="s">
        <v>291</v>
      </c>
      <c r="I8" s="5" t="s">
        <v>292</v>
      </c>
      <c r="J8" s="6" t="s">
        <v>9</v>
      </c>
      <c r="K8" s="6"/>
      <c r="L8" s="6"/>
      <c r="M8" s="7"/>
      <c r="N8" s="7"/>
      <c r="O8" s="6"/>
      <c r="P8" s="6"/>
    </row>
    <row r="9" ht="112" customHeight="1" spans="1:16">
      <c r="A9" s="8" t="s">
        <v>293</v>
      </c>
      <c r="B9" s="8" t="s">
        <v>26</v>
      </c>
      <c r="C9" s="9" t="s">
        <v>294</v>
      </c>
      <c r="D9" s="8" t="s">
        <v>15</v>
      </c>
      <c r="E9" s="8" t="s">
        <v>59</v>
      </c>
      <c r="F9" s="9" t="s">
        <v>295</v>
      </c>
      <c r="G9" s="9" t="s">
        <v>296</v>
      </c>
      <c r="H9" s="9" t="s">
        <v>297</v>
      </c>
      <c r="I9" s="9" t="s">
        <v>298</v>
      </c>
      <c r="J9" s="6" t="s">
        <v>9</v>
      </c>
      <c r="K9" s="6" t="s">
        <v>136</v>
      </c>
      <c r="L9" s="6"/>
      <c r="M9" s="7" t="s">
        <v>299</v>
      </c>
      <c r="N9" s="7"/>
      <c r="O9" s="6"/>
      <c r="P9" s="6"/>
    </row>
    <row r="10" ht="112" customHeight="1" spans="1:16">
      <c r="A10" s="4" t="s">
        <v>300</v>
      </c>
      <c r="B10" s="4" t="s">
        <v>26</v>
      </c>
      <c r="C10" s="5" t="s">
        <v>301</v>
      </c>
      <c r="D10" s="4" t="s">
        <v>15</v>
      </c>
      <c r="E10" s="4" t="s">
        <v>302</v>
      </c>
      <c r="F10" s="5" t="s">
        <v>303</v>
      </c>
      <c r="G10" s="5" t="s">
        <v>304</v>
      </c>
      <c r="H10" s="5" t="s">
        <v>305</v>
      </c>
      <c r="I10" s="5" t="s">
        <v>306</v>
      </c>
      <c r="J10" s="6" t="s">
        <v>9</v>
      </c>
      <c r="K10" s="6"/>
      <c r="L10" s="6"/>
      <c r="M10" s="7"/>
      <c r="N10" s="7"/>
      <c r="O10" s="6"/>
      <c r="P10" s="6"/>
    </row>
    <row r="11" ht="112" customHeight="1" spans="1:16">
      <c r="A11" s="8" t="s">
        <v>307</v>
      </c>
      <c r="B11" s="8" t="s">
        <v>26</v>
      </c>
      <c r="C11" s="9" t="s">
        <v>308</v>
      </c>
      <c r="D11" s="8" t="s">
        <v>15</v>
      </c>
      <c r="E11" s="8" t="s">
        <v>302</v>
      </c>
      <c r="F11" s="9" t="s">
        <v>309</v>
      </c>
      <c r="G11" s="9" t="s">
        <v>310</v>
      </c>
      <c r="H11" s="9" t="s">
        <v>311</v>
      </c>
      <c r="I11" s="9" t="s">
        <v>312</v>
      </c>
      <c r="J11" s="6" t="s">
        <v>9</v>
      </c>
      <c r="K11" s="6" t="s">
        <v>64</v>
      </c>
      <c r="L11" s="6"/>
      <c r="M11" s="7"/>
      <c r="N11" s="7"/>
      <c r="O11" s="6"/>
      <c r="P11" s="6"/>
    </row>
    <row r="12" ht="112" customHeight="1" spans="1:16">
      <c r="A12" s="4" t="s">
        <v>313</v>
      </c>
      <c r="B12" s="4" t="s">
        <v>26</v>
      </c>
      <c r="C12" s="5" t="s">
        <v>314</v>
      </c>
      <c r="D12" s="4" t="s">
        <v>15</v>
      </c>
      <c r="E12" s="4" t="s">
        <v>106</v>
      </c>
      <c r="F12" s="5" t="s">
        <v>315</v>
      </c>
      <c r="G12" s="5" t="s">
        <v>316</v>
      </c>
      <c r="H12" s="5" t="s">
        <v>317</v>
      </c>
      <c r="I12" s="5" t="s">
        <v>318</v>
      </c>
      <c r="J12" s="6" t="s">
        <v>9</v>
      </c>
      <c r="K12" s="6"/>
      <c r="L12" s="6"/>
      <c r="M12" s="7"/>
      <c r="N12" s="7"/>
      <c r="O12" s="6"/>
      <c r="P12" s="6"/>
    </row>
    <row r="13" ht="112" customHeight="1" spans="1:16">
      <c r="A13" s="8" t="s">
        <v>319</v>
      </c>
      <c r="B13" s="8" t="s">
        <v>26</v>
      </c>
      <c r="C13" s="9" t="s">
        <v>320</v>
      </c>
      <c r="D13" s="8" t="s">
        <v>15</v>
      </c>
      <c r="E13" s="8" t="s">
        <v>59</v>
      </c>
      <c r="F13" s="9" t="s">
        <v>321</v>
      </c>
      <c r="G13" s="9" t="s">
        <v>322</v>
      </c>
      <c r="H13" s="9" t="s">
        <v>323</v>
      </c>
      <c r="I13" s="9" t="s">
        <v>324</v>
      </c>
      <c r="J13" s="6" t="s">
        <v>9</v>
      </c>
      <c r="K13" s="6" t="s">
        <v>64</v>
      </c>
      <c r="L13" s="6"/>
      <c r="M13" s="7"/>
      <c r="N13" s="7"/>
      <c r="O13" s="6"/>
      <c r="P13" s="6"/>
    </row>
  </sheetData>
  <mergeCells count="2">
    <mergeCell ref="A1:P1"/>
    <mergeCell ref="A2:P2"/>
  </mergeCells>
  <conditionalFormatting sqref="D4:D13">
    <cfRule type="expression" dxfId="0" priority="1">
      <formula>$D4="P0"</formula>
    </cfRule>
    <cfRule type="expression" dxfId="1" priority="2">
      <formula>$D4="P1"</formula>
    </cfRule>
  </conditionalFormatting>
  <conditionalFormatting sqref="J4:J13">
    <cfRule type="expression" dxfId="2" priority="3">
      <formula>$J4="通过"</formula>
    </cfRule>
    <cfRule type="expression" dxfId="0" priority="4">
      <formula>$J4="失败"</formula>
    </cfRule>
    <cfRule type="expression" dxfId="3" priority="5">
      <formula>$J4="阻塞"</formula>
    </cfRule>
    <cfRule type="expression" dxfId="4" priority="6">
      <formula>$J4="不适用"</formula>
    </cfRule>
  </conditionalFormatting>
  <conditionalFormatting sqref="K4:K13">
    <cfRule type="expression" dxfId="2" priority="7">
      <formula>$K4="是"</formula>
    </cfRule>
    <cfRule type="expression" dxfId="0" priority="8">
      <formula>$K4="否"</formula>
    </cfRule>
  </conditionalFormatting>
  <conditionalFormatting sqref="L4:L13">
    <cfRule type="expression" dxfId="5" priority="9">
      <formula>$L4="阻塞"</formula>
    </cfRule>
    <cfRule type="expression" dxfId="0" priority="10">
      <formula>$L4="高"</formula>
    </cfRule>
    <cfRule type="expression" dxfId="1" priority="11">
      <formula>$L4="中"</formula>
    </cfRule>
    <cfRule type="expression" dxfId="6" priority="12">
      <formula>$L4="低"</formula>
    </cfRule>
    <cfRule type="expression" dxfId="7" priority="13">
      <formula>$L4="轻微"</formula>
    </cfRule>
  </conditionalFormatting>
  <conditionalFormatting sqref="O4:O13">
    <cfRule type="expression" dxfId="2" priority="14">
      <formula>$O4="已完成"</formula>
    </cfRule>
    <cfRule type="expression" dxfId="6" priority="15">
      <formula>$O4="待讨论"</formula>
    </cfRule>
    <cfRule type="expression" dxfId="4" priority="16">
      <formula>$O4="暂不修复"</formula>
    </cfRule>
  </conditionalFormatting>
  <conditionalFormatting sqref="P4:P13">
    <cfRule type="expression" dxfId="2" priority="17">
      <formula>$P4="通过"</formula>
    </cfRule>
    <cfRule type="expression" dxfId="0" priority="18">
      <formula>$P4="不通过"</formula>
    </cfRule>
  </conditionalFormatting>
  <dataValidations count="7">
    <dataValidation type="list" allowBlank="1" errorTitle="输入无效" error="请选择下拉列表中的值" promptTitle="可选值" prompt="请从列表中选择" sqref="D4:D13">
      <formula1>"P0,P1,P2,P3"</formula1>
    </dataValidation>
    <dataValidation type="list" allowBlank="1" errorTitle="输入无效" error="请选择下拉列表中的值" promptTitle="可选值" prompt="请从列表中选择" sqref="E4:E13">
      <formula1>"功能,流程,校验,权限,安全,异常"</formula1>
    </dataValidation>
    <dataValidation type="list" allowBlank="1" errorTitle="输入无效" error="请选择下拉列表中的值" promptTitle="可选值" prompt="请从列表中选择" sqref="J4:J13">
      <formula1>"未执行,通过,失败,阻塞,不适用"</formula1>
    </dataValidation>
    <dataValidation type="list" allowBlank="1" errorTitle="输入无效" error="请选择下拉列表中的值" promptTitle="可选值" prompt="请从列表中选择" sqref="K4:K13">
      <formula1>"是,否"</formula1>
    </dataValidation>
    <dataValidation type="list" allowBlank="1" errorTitle="输入无效" error="请选择下拉列表中的值" promptTitle="可选值" prompt="请从列表中选择" sqref="L4:L13">
      <formula1>"阻塞,高,中,低,轻微"</formula1>
    </dataValidation>
    <dataValidation type="list" allowBlank="1" errorTitle="输入无效" error="请选择下拉列表中的值" promptTitle="可选值" prompt="请从列表中选择" sqref="O4:O13">
      <formula1>"已完成,待讨论,暂不修复"</formula1>
    </dataValidation>
    <dataValidation type="list" allowBlank="1" errorTitle="输入无效" error="请选择下拉列表中的值" promptTitle="可选值" prompt="请从列表中选择" sqref="P4:P13">
      <formula1>"通过,不通过"</formula1>
    </dataValidation>
  </dataValidation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测试说明</vt:lpstr>
      <vt:lpstr>报告生成与状态</vt:lpstr>
      <vt:lpstr>ESAT报告</vt:lpstr>
      <vt:lpstr>TMUA报告</vt:lpstr>
      <vt:lpstr>公共分析模块</vt:lpstr>
      <vt:lpstr>学习路径与题目解析</vt:lpstr>
      <vt:lpstr>历史升级与权限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PanLZ</cp:lastModifiedBy>
  <dcterms:created xsi:type="dcterms:W3CDTF">2026-08-09T21:50:00Z</dcterms:created>
  <dcterms:modified xsi:type="dcterms:W3CDTF">2026-08-11T21:04:13Z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518042FD06A52F4A5C1B7B6A6B8F9631_42</vt:lpwstr>
  </property>
</Properties>
</file>