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a9b82ef11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说明" sheetId="1" r:id="R442679a7c44644f0"/>
    <x:sheet xmlns:r="http://schemas.openxmlformats.org/officeDocument/2006/relationships" name="首页与年份" sheetId="2" r:id="R4728d032637e47f3"/>
    <x:sheet xmlns:r="http://schemas.openxmlformats.org/officeDocument/2006/relationships" name="结构与选卷" sheetId="3" r:id="Re3433b47292148ff"/>
    <x:sheet xmlns:r="http://schemas.openxmlformats.org/officeDocument/2006/relationships" name="创建与互斥" sheetId="4" r:id="R055f36e32fd240db"/>
    <x:sheet xmlns:r="http://schemas.openxmlformats.org/officeDocument/2006/relationships" name="暂停与时间" sheetId="5" r:id="Rf9f18fcea9b1466b"/>
    <x:sheet xmlns:r="http://schemas.openxmlformats.org/officeDocument/2006/relationships" name="分段状态机" sheetId="6" r:id="Rf03da1f8aaa74399"/>
    <x:sheet xmlns:r="http://schemas.openxmlformats.org/officeDocument/2006/relationships" name="交卷与统计" sheetId="7" r:id="R7e93983c6b634125"/>
    <x:sheet xmlns:r="http://schemas.openxmlformats.org/officeDocument/2006/relationships" name="报告与历史" sheetId="8" r:id="R09bf9673b20f45db"/>
    <x:sheet xmlns:r="http://schemas.openxmlformats.org/officeDocument/2006/relationships" name="后台状态与版本" sheetId="9" r:id="R6975625607d943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18"/>
      <x:color rgb="FFFFFFFF"/>
      <x:name val="Microsoft YaHei"/>
    </x:font>
    <x:font>
      <x:sz val="10"/>
      <x:color rgb="FF385D8A"/>
      <x:name val="Microsoft YaHei"/>
    </x:font>
    <x:font>
      <x:sz val="10"/>
      <x:color rgb="FF243447"/>
      <x:name val="Microsoft YaHei"/>
    </x:font>
    <x:font>
      <x:b/>
      <x:sz val="10"/>
      <x:color rgb="FFFFFFFF"/>
      <x:name val="Microsoft YaHei"/>
    </x:font>
    <x:font>
      <x:b/>
      <x:sz val="13"/>
      <x:color rgb="FFFFFFFF"/>
      <x:name val="Microsoft YaHei"/>
    </x:font>
    <x:font>
      <x:b/>
      <x:sz val="11"/>
      <x:color rgb="FFFFFFFF"/>
      <x:name val="Microsoft YaHei"/>
    </x:font>
    <x:font>
      <x:b/>
      <x:sz val="11"/>
      <x:color rgb="FF243447"/>
      <x:name val="Microsoft YaHei"/>
    </x:font>
    <x:font>
      <x:b/>
      <x:sz val="11"/>
      <x:color rgb="FF17365D"/>
      <x:name val="Microsoft YaHei"/>
    </x:font>
    <x:font>
      <x:b/>
      <x:sz val="16"/>
      <x:color rgb="FFFFFFFF"/>
      <x:name val="Microsoft YaHei"/>
    </x:font>
    <x:font>
      <x:sz val="9"/>
      <x:color rgb="FF243447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  <x:fill>
      <x:patternFill patternType="solid">
        <x:fgColor rgb="FF2F75B5"/>
      </x:patternFill>
    </x:fill>
    <x:fill>
      <x:patternFill patternType="solid">
        <x:fgColor rgb="FFDCE6F1"/>
      </x:patternFill>
    </x:fill>
    <x:fill>
      <x:patternFill patternType="solid">
        <x:fgColor rgb="FFFFF8E1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53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6" borderId="1" xfId="0" applyNumberFormat="1" applyFont="1" applyFill="1" applyBorder="1" applyAlignment="1">
      <x:alignment vertical="top" wrapText="1"/>
    </x:xf>
    <x:xf numFmtId="0" fontId="10" fillId="7" borderId="1" xfId="0" applyNumberFormat="1" applyFont="1" applyFill="1" applyBorder="1" applyAlignment="1">
      <x:alignment vertical="top" wrapText="1"/>
    </x:xf>
    <x:xf numFmtId="0" fontId="10" fillId="6" borderId="1" xfId="0" applyNumberFormat="1" applyFont="1" applyFill="1" applyBorder="1" applyAlignment="1">
      <x:alignment horizontal="center" vertical="top" wrapText="1"/>
    </x:xf>
    <x:xf numFmtId="0" fontId="10" fillId="7" borderId="1" xfId="0" applyNumberFormat="1" applyFont="1" applyFill="1" applyBorder="1" applyAlignment="1">
      <x:alignment horizontal="center" vertical="top" wrapText="1"/>
    </x:xf>
    <x:xf numFmtId="0" fontId="10" fillId="8" borderId="1" xfId="0" applyNumberFormat="1" applyFont="1" applyFill="1" applyBorder="1" applyAlignment="1">
      <x:alignment vertical="top" wrapText="1"/>
    </x:xf>
    <x:xf numFmtId="0" fontId="10" fillId="8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4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d92506f9d44b80" /><Relationship Type="http://schemas.openxmlformats.org/officeDocument/2006/relationships/theme" Target="/xl/theme/theme1.xml" Id="Re2cf5d6187194ce0" /><Relationship Type="http://schemas.openxmlformats.org/officeDocument/2006/relationships/sharedStrings" Target="/xl/sharedStrings.xml" Id="R0e84adf49a71429b" /><Relationship Type="http://schemas.openxmlformats.org/officeDocument/2006/relationships/worksheet" Target="/xl/worksheets/sheet1.xml" Id="R442679a7c44644f0" /><Relationship Type="http://schemas.openxmlformats.org/officeDocument/2006/relationships/worksheet" Target="/xl/worksheets/sheet2.xml" Id="R4728d032637e47f3" /><Relationship Type="http://schemas.openxmlformats.org/officeDocument/2006/relationships/worksheet" Target="/xl/worksheets/sheet3.xml" Id="Re3433b47292148ff" /><Relationship Type="http://schemas.openxmlformats.org/officeDocument/2006/relationships/worksheet" Target="/xl/worksheets/sheet4.xml" Id="R055f36e32fd240db" /><Relationship Type="http://schemas.openxmlformats.org/officeDocument/2006/relationships/worksheet" Target="/xl/worksheets/sheet5.xml" Id="Rf9f18fcea9b1466b" /><Relationship Type="http://schemas.openxmlformats.org/officeDocument/2006/relationships/worksheet" Target="/xl/worksheets/sheet6.xml" Id="Rf03da1f8aaa74399" /><Relationship Type="http://schemas.openxmlformats.org/officeDocument/2006/relationships/worksheet" Target="/xl/worksheets/sheet7.xml" Id="R7e93983c6b634125" /><Relationship Type="http://schemas.openxmlformats.org/officeDocument/2006/relationships/worksheet" Target="/xl/worksheets/sheet8.xml" Id="R09bf9673b20f45db" /><Relationship Type="http://schemas.openxmlformats.org/officeDocument/2006/relationships/worksheet" Target="/xl/worksheets/sheet9.xml" Id="R6975625607d94308" /></Relationships>
</file>

<file path=xl/tables/table1.xml><?xml version="1.0" encoding="utf-8"?>
<x:table xmlns:x="http://schemas.openxmlformats.org/spreadsheetml/2006/main" id="1" name="AutomationSummaryTable" displayName="AutomationSummaryTable" ref="A9:I18" headerRowCount="1" totalsRowCount="0" totalsRowShown="0">
  <x:tableColumns count="9">
    <x:tableColumn id="1" name="模块"/>
    <x:tableColumn id="2" name="用例数"/>
    <x:tableColumn id="3" name="P0"/>
    <x:tableColumn id="4" name="P1"/>
    <x:tableColumn id="5" name="API"/>
    <x:tableColumn id="6" name="UI"/>
    <x:tableColumn id="7" name="混合"/>
    <x:tableColumn id="8" name="待实现"/>
    <x:tableColumn id="9" name="已实现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AutoCases01" displayName="AutoCases01" ref="A3:R8" headerRowCount="1" totalsRowCount="0" totalsRowShown="0">
  <x:autoFilter ref="A3:R8"/>
  <x:tableColumns count="18">
    <x:tableColumn id="1" name="用例编号"/>
    <x:tableColumn id="2" name="功能模块"/>
    <x:tableColumn id="3" name="用例标题"/>
    <x:tableColumn id="4" name="优先级"/>
    <x:tableColumn id="5" name="自动化层级"/>
    <x:tableColumn id="6" name="前置数据/Mock"/>
    <x:tableColumn id="7" name="参数化测试数据"/>
    <x:tableColumn id="8" name="自动化步骤"/>
    <x:tableColumn id="9" name="断言"/>
    <x:tableColumn id="10" name="建议脚本路径"/>
    <x:tableColumn id="11" name="脚本状态"/>
    <x:tableColumn id="12" name="执行状态"/>
    <x:tableColumn id="13" name="是否通过"/>
    <x:tableColumn id="14" name="缺陷等级"/>
    <x:tableColumn id="15" name="实际结果"/>
    <x:tableColumn id="16" name="备注"/>
    <x:tableColumn id="17" name="修复情况"/>
    <x:tableColumn id="18" name="回归情况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AutoCases02" displayName="AutoCases02" ref="A3:R9" headerRowCount="1" totalsRowCount="0" totalsRowShown="0">
  <x:autoFilter ref="A3:R9"/>
  <x:tableColumns count="18">
    <x:tableColumn id="1" name="用例编号"/>
    <x:tableColumn id="2" name="功能模块"/>
    <x:tableColumn id="3" name="用例标题"/>
    <x:tableColumn id="4" name="优先级"/>
    <x:tableColumn id="5" name="自动化层级"/>
    <x:tableColumn id="6" name="前置数据/Mock"/>
    <x:tableColumn id="7" name="参数化测试数据"/>
    <x:tableColumn id="8" name="自动化步骤"/>
    <x:tableColumn id="9" name="断言"/>
    <x:tableColumn id="10" name="建议脚本路径"/>
    <x:tableColumn id="11" name="脚本状态"/>
    <x:tableColumn id="12" name="执行状态"/>
    <x:tableColumn id="13" name="是否通过"/>
    <x:tableColumn id="14" name="缺陷等级"/>
    <x:tableColumn id="15" name="实际结果"/>
    <x:tableColumn id="16" name="备注"/>
    <x:tableColumn id="17" name="修复情况"/>
    <x:tableColumn id="18" name="回归情况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AutoCases03" displayName="AutoCases03" ref="A3:R9" headerRowCount="1" totalsRowCount="0" totalsRowShown="0">
  <x:autoFilter ref="A3:R9"/>
  <x:tableColumns count="18">
    <x:tableColumn id="1" name="用例编号"/>
    <x:tableColumn id="2" name="功能模块"/>
    <x:tableColumn id="3" name="用例标题"/>
    <x:tableColumn id="4" name="优先级"/>
    <x:tableColumn id="5" name="自动化层级"/>
    <x:tableColumn id="6" name="前置数据/Mock"/>
    <x:tableColumn id="7" name="参数化测试数据"/>
    <x:tableColumn id="8" name="自动化步骤"/>
    <x:tableColumn id="9" name="断言"/>
    <x:tableColumn id="10" name="建议脚本路径"/>
    <x:tableColumn id="11" name="脚本状态"/>
    <x:tableColumn id="12" name="执行状态"/>
    <x:tableColumn id="13" name="是否通过"/>
    <x:tableColumn id="14" name="缺陷等级"/>
    <x:tableColumn id="15" name="实际结果"/>
    <x:tableColumn id="16" name="备注"/>
    <x:tableColumn id="17" name="修复情况"/>
    <x:tableColumn id="18" name="回归情况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AutoCases04" displayName="AutoCases04" ref="A3:R8" headerRowCount="1" totalsRowCount="0" totalsRowShown="0">
  <x:autoFilter ref="A3:R8"/>
  <x:tableColumns count="18">
    <x:tableColumn id="1" name="用例编号"/>
    <x:tableColumn id="2" name="功能模块"/>
    <x:tableColumn id="3" name="用例标题"/>
    <x:tableColumn id="4" name="优先级"/>
    <x:tableColumn id="5" name="自动化层级"/>
    <x:tableColumn id="6" name="前置数据/Mock"/>
    <x:tableColumn id="7" name="参数化测试数据"/>
    <x:tableColumn id="8" name="自动化步骤"/>
    <x:tableColumn id="9" name="断言"/>
    <x:tableColumn id="10" name="建议脚本路径"/>
    <x:tableColumn id="11" name="脚本状态"/>
    <x:tableColumn id="12" name="执行状态"/>
    <x:tableColumn id="13" name="是否通过"/>
    <x:tableColumn id="14" name="缺陷等级"/>
    <x:tableColumn id="15" name="实际结果"/>
    <x:tableColumn id="16" name="备注"/>
    <x:tableColumn id="17" name="修复情况"/>
    <x:tableColumn id="18" name="回归情况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6" name="AutoCases05" displayName="AutoCases05" ref="A3:R10" headerRowCount="1" totalsRowCount="0" totalsRowShown="0">
  <x:autoFilter ref="A3:R10"/>
  <x:tableColumns count="18">
    <x:tableColumn id="1" name="用例编号"/>
    <x:tableColumn id="2" name="功能模块"/>
    <x:tableColumn id="3" name="用例标题"/>
    <x:tableColumn id="4" name="优先级"/>
    <x:tableColumn id="5" name="自动化层级"/>
    <x:tableColumn id="6" name="前置数据/Mock"/>
    <x:tableColumn id="7" name="参数化测试数据"/>
    <x:tableColumn id="8" name="自动化步骤"/>
    <x:tableColumn id="9" name="断言"/>
    <x:tableColumn id="10" name="建议脚本路径"/>
    <x:tableColumn id="11" name="脚本状态"/>
    <x:tableColumn id="12" name="执行状态"/>
    <x:tableColumn id="13" name="是否通过"/>
    <x:tableColumn id="14" name="缺陷等级"/>
    <x:tableColumn id="15" name="实际结果"/>
    <x:tableColumn id="16" name="备注"/>
    <x:tableColumn id="17" name="修复情况"/>
    <x:tableColumn id="18" name="回归情况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7" name="AutoCases06" displayName="AutoCases06" ref="A3:R9" headerRowCount="1" totalsRowCount="0" totalsRowShown="0">
  <x:autoFilter ref="A3:R9"/>
  <x:tableColumns count="18">
    <x:tableColumn id="1" name="用例编号"/>
    <x:tableColumn id="2" name="功能模块"/>
    <x:tableColumn id="3" name="用例标题"/>
    <x:tableColumn id="4" name="优先级"/>
    <x:tableColumn id="5" name="自动化层级"/>
    <x:tableColumn id="6" name="前置数据/Mock"/>
    <x:tableColumn id="7" name="参数化测试数据"/>
    <x:tableColumn id="8" name="自动化步骤"/>
    <x:tableColumn id="9" name="断言"/>
    <x:tableColumn id="10" name="建议脚本路径"/>
    <x:tableColumn id="11" name="脚本状态"/>
    <x:tableColumn id="12" name="执行状态"/>
    <x:tableColumn id="13" name="是否通过"/>
    <x:tableColumn id="14" name="缺陷等级"/>
    <x:tableColumn id="15" name="实际结果"/>
    <x:tableColumn id="16" name="备注"/>
    <x:tableColumn id="17" name="修复情况"/>
    <x:tableColumn id="18" name="回归情况"/>
  </x:tableColumns>
  <x:tableStyleInfo name="TableStyleMedium2" showFirstColumn="0" showLastColumn="0" showRowStripes="0" showColumnStripes="0"/>
</x:table>
</file>

<file path=xl/tables/table8.xml><?xml version="1.0" encoding="utf-8"?>
<x:table xmlns:x="http://schemas.openxmlformats.org/spreadsheetml/2006/main" id="8" name="AutoCases07" displayName="AutoCases07" ref="A3:R8" headerRowCount="1" totalsRowCount="0" totalsRowShown="0">
  <x:autoFilter ref="A3:R8"/>
  <x:tableColumns count="18">
    <x:tableColumn id="1" name="用例编号"/>
    <x:tableColumn id="2" name="功能模块"/>
    <x:tableColumn id="3" name="用例标题"/>
    <x:tableColumn id="4" name="优先级"/>
    <x:tableColumn id="5" name="自动化层级"/>
    <x:tableColumn id="6" name="前置数据/Mock"/>
    <x:tableColumn id="7" name="参数化测试数据"/>
    <x:tableColumn id="8" name="自动化步骤"/>
    <x:tableColumn id="9" name="断言"/>
    <x:tableColumn id="10" name="建议脚本路径"/>
    <x:tableColumn id="11" name="脚本状态"/>
    <x:tableColumn id="12" name="执行状态"/>
    <x:tableColumn id="13" name="是否通过"/>
    <x:tableColumn id="14" name="缺陷等级"/>
    <x:tableColumn id="15" name="实际结果"/>
    <x:tableColumn id="16" name="备注"/>
    <x:tableColumn id="17" name="修复情况"/>
    <x:tableColumn id="18" name="回归情况"/>
  </x:tableColumns>
  <x:tableStyleInfo name="TableStyleMedium2" showFirstColumn="0" showLastColumn="0" showRowStripes="0" showColumnStripes="0"/>
</x:table>
</file>

<file path=xl/tables/table9.xml><?xml version="1.0" encoding="utf-8"?>
<x:table xmlns:x="http://schemas.openxmlformats.org/spreadsheetml/2006/main" id="9" name="AutoCases08" displayName="AutoCases08" ref="A3:R9" headerRowCount="1" totalsRowCount="0" totalsRowShown="0">
  <x:autoFilter ref="A3:R9"/>
  <x:tableColumns count="18">
    <x:tableColumn id="1" name="用例编号"/>
    <x:tableColumn id="2" name="功能模块"/>
    <x:tableColumn id="3" name="用例标题"/>
    <x:tableColumn id="4" name="优先级"/>
    <x:tableColumn id="5" name="自动化层级"/>
    <x:tableColumn id="6" name="前置数据/Mock"/>
    <x:tableColumn id="7" name="参数化测试数据"/>
    <x:tableColumn id="8" name="自动化步骤"/>
    <x:tableColumn id="9" name="断言"/>
    <x:tableColumn id="10" name="建议脚本路径"/>
    <x:tableColumn id="11" name="脚本状态"/>
    <x:tableColumn id="12" name="执行状态"/>
    <x:tableColumn id="13" name="是否通过"/>
    <x:tableColumn id="14" name="缺陷等级"/>
    <x:tableColumn id="15" name="实际结果"/>
    <x:tableColumn id="16" name="备注"/>
    <x:tableColumn id="17" name="修复情况"/>
    <x:tableColumn id="18" name="回归情况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a6bb4e4d4b43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2e9ff5efd84b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17ad42dd7b46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4924d5c9bf940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134fab4b2b747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4bfc37bc1f74d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b6a889e65ab41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5a94d0ce2334c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6c1e153079344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4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</x:cols>
  <x:sheetData>
    <x:row r="1" ht="38" customHeight="1">
      <x:c r="A1" s="4" t="str">
        <x:v>4.8 诊断测试自动化测试用例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7" t="str">
        <x:v>参数化覆盖结构规则、权限、状态机、时序、并发、幂等、原子性与故障注入；建议路径仅为自动化规划目标。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8" t="str">
        <x:v>文档版本</x:v>
      </x:c>
      <x:c r="B4" s="14" t="str">
        <x:v>当前版（2026-08-09）</x:v>
      </x:c>
      <x:c r="C4" s="14"/>
      <x:c r="D4" s="18" t="str">
        <x:v>生成日期</x:v>
      </x:c>
      <x:c r="E4" s="15" t="n">
        <x:v>46243</x:v>
      </x:c>
      <x:c r="F4" s="14"/>
      <x:c r="G4" s="18" t="str">
        <x:v>用例总数</x:v>
      </x:c>
      <x:c r="H4" s="14" t="n">
        <x:f>SUM(B10:B17)</x:f>
        <x:v>46</x:v>
      </x:c>
      <x:c r="I4" s="14"/>
    </x:row>
    <x:row r="5" ht="38" customHeight="1">
      <x:c r="A5" s="18" t="str">
        <x:v>需求来源</x:v>
      </x:c>
      <x:c r="B5" s="14" t="str">
        <x:v>文档/4-需求文档/4.8 诊断测试.md</x:v>
      </x:c>
      <x:c r="C5" s="14"/>
      <x:c r="D5" s="14"/>
      <x:c r="E5" s="14"/>
      <x:c r="F5" s="14"/>
      <x:c r="G5" s="18" t="str">
        <x:v>默认状态</x:v>
      </x:c>
      <x:c r="H5" s="14" t="str">
        <x:v>待实现 / 未执行</x:v>
      </x:c>
      <x:c r="I5" s="14"/>
    </x:row>
    <x:row r="6" ht="42" customHeight="1">
      <x:c r="A6" s="18" t="str">
        <x:v>关联规则</x:v>
      </x:c>
      <x:c r="B6" s="14" t="str">
        <x:v>4.6在线答题、4.7试卷管理、4.2会员权益、4.3个人中心、4.9支付、4.8.1诊断报告；4.8诊断专项规则优先。</x:v>
      </x:c>
      <x:c r="C6" s="14"/>
      <x:c r="D6" s="14"/>
      <x:c r="E6" s="14"/>
      <x:c r="F6" s="14"/>
      <x:c r="G6" s="14"/>
      <x:c r="H6" s="14"/>
      <x:c r="I6" s="14"/>
    </x:row>
    <x:row r="8">
      <x:c r="A8" s="19" t="str">
        <x:v>模块覆盖统计</x:v>
      </x:c>
      <x:c r="B8" s="19"/>
      <x:c r="C8" s="19"/>
      <x:c r="D8" s="19"/>
      <x:c r="E8" s="19"/>
      <x:c r="F8" s="19"/>
      <x:c r="G8" s="19"/>
      <x:c r="H8" s="19"/>
      <x:c r="I8" s="19"/>
    </x:row>
    <x:row r="9">
      <x:c r="A9" s="23" t="str">
        <x:v>模块</x:v>
      </x:c>
      <x:c r="B9" s="23" t="str">
        <x:v>用例数</x:v>
      </x:c>
      <x:c r="C9" s="23" t="str">
        <x:v>P0</x:v>
      </x:c>
      <x:c r="D9" s="23" t="str">
        <x:v>P1</x:v>
      </x:c>
      <x:c r="E9" s="23" t="str">
        <x:v>API</x:v>
      </x:c>
      <x:c r="F9" s="23" t="str">
        <x:v>UI</x:v>
      </x:c>
      <x:c r="G9" s="23" t="str">
        <x:v>混合</x:v>
      </x:c>
      <x:c r="H9" s="23" t="str">
        <x:v>待实现</x:v>
      </x:c>
      <x:c r="I9" s="23" t="str">
        <x:v>已实现</x:v>
      </x:c>
    </x:row>
    <x:row r="10">
      <x:c r="A10" s="26" t="str">
        <x:v>首页与年份</x:v>
      </x:c>
      <x:c r="B10" s="26" t="n">
        <x:f>COUNTA('首页与年份'!$A$4:$A$8)</x:f>
        <x:v>5</x:v>
      </x:c>
      <x:c r="C10" s="26" t="n">
        <x:f>COUNTIF('首页与年份'!$D$4:$D$8,"P0")</x:f>
        <x:v>4</x:v>
      </x:c>
      <x:c r="D10" s="26" t="n">
        <x:f>COUNTIF('首页与年份'!$D$4:$D$8,"P1")</x:f>
        <x:v>1</x:v>
      </x:c>
      <x:c r="E10" s="26" t="n">
        <x:f>COUNTIF('首页与年份'!$E$4:$E$8,"API")</x:f>
        <x:v>1</x:v>
      </x:c>
      <x:c r="F10" s="26" t="n">
        <x:f>COUNTIF('首页与年份'!$E$4:$E$8,"UI")</x:f>
        <x:v>1</x:v>
      </x:c>
      <x:c r="G10" s="26" t="n">
        <x:f>COUNTIF('首页与年份'!$E$4:$E$8,"混合")</x:f>
        <x:v>3</x:v>
      </x:c>
      <x:c r="H10" s="26" t="n">
        <x:f>COUNTIF('首页与年份'!$K$4:$K$8,"待实现")</x:f>
        <x:v>5</x:v>
      </x:c>
      <x:c r="I10" s="26" t="n">
        <x:f>COUNTIF('首页与年份'!$K$4:$K$8,"已实现")</x:f>
        <x:v>0</x:v>
      </x:c>
    </x:row>
    <x:row r="11">
      <x:c r="A11" s="26" t="str">
        <x:v>结构与选卷</x:v>
      </x:c>
      <x:c r="B11" s="26" t="n">
        <x:f>COUNTA('结构与选卷'!$A$4:$A$9)</x:f>
        <x:v>6</x:v>
      </x:c>
      <x:c r="C11" s="26" t="n">
        <x:f>COUNTIF('结构与选卷'!$D$4:$D$9,"P0")</x:f>
        <x:v>6</x:v>
      </x:c>
      <x:c r="D11" s="26" t="n">
        <x:f>COUNTIF('结构与选卷'!$D$4:$D$9,"P1")</x:f>
        <x:v>0</x:v>
      </x:c>
      <x:c r="E11" s="26" t="n">
        <x:f>COUNTIF('结构与选卷'!$E$4:$E$9,"API")</x:f>
        <x:v>4</x:v>
      </x:c>
      <x:c r="F11" s="26" t="n">
        <x:f>COUNTIF('结构与选卷'!$E$4:$E$9,"UI")</x:f>
        <x:v>0</x:v>
      </x:c>
      <x:c r="G11" s="26" t="n">
        <x:f>COUNTIF('结构与选卷'!$E$4:$E$9,"混合")</x:f>
        <x:v>2</x:v>
      </x:c>
      <x:c r="H11" s="26" t="n">
        <x:f>COUNTIF('结构与选卷'!$K$4:$K$9,"待实现")</x:f>
        <x:v>6</x:v>
      </x:c>
      <x:c r="I11" s="26" t="n">
        <x:f>COUNTIF('结构与选卷'!$K$4:$K$9,"已实现")</x:f>
        <x:v>0</x:v>
      </x:c>
    </x:row>
    <x:row r="12">
      <x:c r="A12" s="26" t="str">
        <x:v>创建与互斥</x:v>
      </x:c>
      <x:c r="B12" s="26" t="n">
        <x:f>COUNTA('创建与互斥'!$A$4:$A$9)</x:f>
        <x:v>6</x:v>
      </x:c>
      <x:c r="C12" s="26" t="n">
        <x:f>COUNTIF('创建与互斥'!$D$4:$D$9,"P0")</x:f>
        <x:v>6</x:v>
      </x:c>
      <x:c r="D12" s="26" t="n">
        <x:f>COUNTIF('创建与互斥'!$D$4:$D$9,"P1")</x:f>
        <x:v>0</x:v>
      </x:c>
      <x:c r="E12" s="26" t="n">
        <x:f>COUNTIF('创建与互斥'!$E$4:$E$9,"API")</x:f>
        <x:v>6</x:v>
      </x:c>
      <x:c r="F12" s="26" t="n">
        <x:f>COUNTIF('创建与互斥'!$E$4:$E$9,"UI")</x:f>
        <x:v>0</x:v>
      </x:c>
      <x:c r="G12" s="26" t="n">
        <x:f>COUNTIF('创建与互斥'!$E$4:$E$9,"混合")</x:f>
        <x:v>0</x:v>
      </x:c>
      <x:c r="H12" s="26" t="n">
        <x:f>COUNTIF('创建与互斥'!$K$4:$K$9,"待实现")</x:f>
        <x:v>6</x:v>
      </x:c>
      <x:c r="I12" s="26" t="n">
        <x:f>COUNTIF('创建与互斥'!$K$4:$K$9,"已实现")</x:f>
        <x:v>0</x:v>
      </x:c>
    </x:row>
    <x:row r="13">
      <x:c r="A13" s="26" t="str">
        <x:v>暂停与时间</x:v>
      </x:c>
      <x:c r="B13" s="26" t="n">
        <x:f>COUNTA('暂停与时间'!$A$4:$A$8)</x:f>
        <x:v>5</x:v>
      </x:c>
      <x:c r="C13" s="26" t="n">
        <x:f>COUNTIF('暂停与时间'!$D$4:$D$8,"P0")</x:f>
        <x:v>5</x:v>
      </x:c>
      <x:c r="D13" s="26" t="n">
        <x:f>COUNTIF('暂停与时间'!$D$4:$D$8,"P1")</x:f>
        <x:v>0</x:v>
      </x:c>
      <x:c r="E13" s="26" t="n">
        <x:f>COUNTIF('暂停与时间'!$E$4:$E$8,"API")</x:f>
        <x:v>3</x:v>
      </x:c>
      <x:c r="F13" s="26" t="n">
        <x:f>COUNTIF('暂停与时间'!$E$4:$E$8,"UI")</x:f>
        <x:v>0</x:v>
      </x:c>
      <x:c r="G13" s="26" t="n">
        <x:f>COUNTIF('暂停与时间'!$E$4:$E$8,"混合")</x:f>
        <x:v>2</x:v>
      </x:c>
      <x:c r="H13" s="26" t="n">
        <x:f>COUNTIF('暂停与时间'!$K$4:$K$8,"待实现")</x:f>
        <x:v>5</x:v>
      </x:c>
      <x:c r="I13" s="26" t="n">
        <x:f>COUNTIF('暂停与时间'!$K$4:$K$8,"已实现")</x:f>
        <x:v>0</x:v>
      </x:c>
    </x:row>
    <x:row r="14">
      <x:c r="A14" s="26" t="str">
        <x:v>分段状态机</x:v>
      </x:c>
      <x:c r="B14" s="26" t="n">
        <x:f>COUNTA('分段状态机'!$A$4:$A$10)</x:f>
        <x:v>7</x:v>
      </x:c>
      <x:c r="C14" s="26" t="n">
        <x:f>COUNTIF('分段状态机'!$D$4:$D$10,"P0")</x:f>
        <x:v>7</x:v>
      </x:c>
      <x:c r="D14" s="26" t="n">
        <x:f>COUNTIF('分段状态机'!$D$4:$D$10,"P1")</x:f>
        <x:v>0</x:v>
      </x:c>
      <x:c r="E14" s="26" t="n">
        <x:f>COUNTIF('分段状态机'!$E$4:$E$10,"API")</x:f>
        <x:v>7</x:v>
      </x:c>
      <x:c r="F14" s="26" t="n">
        <x:f>COUNTIF('分段状态机'!$E$4:$E$10,"UI")</x:f>
        <x:v>0</x:v>
      </x:c>
      <x:c r="G14" s="26" t="n">
        <x:f>COUNTIF('分段状态机'!$E$4:$E$10,"混合")</x:f>
        <x:v>0</x:v>
      </x:c>
      <x:c r="H14" s="26" t="n">
        <x:f>COUNTIF('分段状态机'!$K$4:$K$10,"待实现")</x:f>
        <x:v>7</x:v>
      </x:c>
      <x:c r="I14" s="26" t="n">
        <x:f>COUNTIF('分段状态机'!$K$4:$K$10,"已实现")</x:f>
        <x:v>0</x:v>
      </x:c>
    </x:row>
    <x:row r="15">
      <x:c r="A15" s="26" t="str">
        <x:v>交卷与统计</x:v>
      </x:c>
      <x:c r="B15" s="26" t="n">
        <x:f>COUNTA('交卷与统计'!$A$4:$A$9)</x:f>
        <x:v>6</x:v>
      </x:c>
      <x:c r="C15" s="26" t="n">
        <x:f>COUNTIF('交卷与统计'!$D$4:$D$9,"P0")</x:f>
        <x:v>5</x:v>
      </x:c>
      <x:c r="D15" s="26" t="n">
        <x:f>COUNTIF('交卷与统计'!$D$4:$D$9,"P1")</x:f>
        <x:v>1</x:v>
      </x:c>
      <x:c r="E15" s="26" t="n">
        <x:f>COUNTIF('交卷与统计'!$E$4:$E$9,"API")</x:f>
        <x:v>5</x:v>
      </x:c>
      <x:c r="F15" s="26" t="n">
        <x:f>COUNTIF('交卷与统计'!$E$4:$E$9,"UI")</x:f>
        <x:v>0</x:v>
      </x:c>
      <x:c r="G15" s="26" t="n">
        <x:f>COUNTIF('交卷与统计'!$E$4:$E$9,"混合")</x:f>
        <x:v>1</x:v>
      </x:c>
      <x:c r="H15" s="26" t="n">
        <x:f>COUNTIF('交卷与统计'!$K$4:$K$9,"待实现")</x:f>
        <x:v>6</x:v>
      </x:c>
      <x:c r="I15" s="26" t="n">
        <x:f>COUNTIF('交卷与统计'!$K$4:$K$9,"已实现")</x:f>
        <x:v>0</x:v>
      </x:c>
    </x:row>
    <x:row r="16">
      <x:c r="A16" s="26" t="str">
        <x:v>报告与历史</x:v>
      </x:c>
      <x:c r="B16" s="26" t="n">
        <x:f>COUNTA('报告与历史'!$A$4:$A$8)</x:f>
        <x:v>5</x:v>
      </x:c>
      <x:c r="C16" s="26" t="n">
        <x:f>COUNTIF('报告与历史'!$D$4:$D$8,"P0")</x:f>
        <x:v>4</x:v>
      </x:c>
      <x:c r="D16" s="26" t="n">
        <x:f>COUNTIF('报告与历史'!$D$4:$D$8,"P1")</x:f>
        <x:v>1</x:v>
      </x:c>
      <x:c r="E16" s="26" t="n">
        <x:f>COUNTIF('报告与历史'!$E$4:$E$8,"API")</x:f>
        <x:v>3</x:v>
      </x:c>
      <x:c r="F16" s="26" t="n">
        <x:f>COUNTIF('报告与历史'!$E$4:$E$8,"UI")</x:f>
        <x:v>0</x:v>
      </x:c>
      <x:c r="G16" s="26" t="n">
        <x:f>COUNTIF('报告与历史'!$E$4:$E$8,"混合")</x:f>
        <x:v>2</x:v>
      </x:c>
      <x:c r="H16" s="26" t="n">
        <x:f>COUNTIF('报告与历史'!$K$4:$K$8,"待实现")</x:f>
        <x:v>5</x:v>
      </x:c>
      <x:c r="I16" s="26" t="n">
        <x:f>COUNTIF('报告与历史'!$K$4:$K$8,"已实现")</x:f>
        <x:v>0</x:v>
      </x:c>
    </x:row>
    <x:row r="17">
      <x:c r="A17" s="26" t="str">
        <x:v>后台状态与版本</x:v>
      </x:c>
      <x:c r="B17" s="26" t="n">
        <x:f>COUNTA('后台状态与版本'!$A$4:$A$9)</x:f>
        <x:v>6</x:v>
      </x:c>
      <x:c r="C17" s="26" t="n">
        <x:f>COUNTIF('后台状态与版本'!$D$4:$D$9,"P0")</x:f>
        <x:v>6</x:v>
      </x:c>
      <x:c r="D17" s="26" t="n">
        <x:f>COUNTIF('后台状态与版本'!$D$4:$D$9,"P1")</x:f>
        <x:v>0</x:v>
      </x:c>
      <x:c r="E17" s="26" t="n">
        <x:f>COUNTIF('后台状态与版本'!$E$4:$E$9,"API")</x:f>
        <x:v>5</x:v>
      </x:c>
      <x:c r="F17" s="26" t="n">
        <x:f>COUNTIF('后台状态与版本'!$E$4:$E$9,"UI")</x:f>
        <x:v>0</x:v>
      </x:c>
      <x:c r="G17" s="26" t="n">
        <x:f>COUNTIF('后台状态与版本'!$E$4:$E$9,"混合")</x:f>
        <x:v>1</x:v>
      </x:c>
      <x:c r="H17" s="26" t="n">
        <x:f>COUNTIF('后台状态与版本'!$K$4:$K$9,"待实现")</x:f>
        <x:v>6</x:v>
      </x:c>
      <x:c r="I17" s="26" t="n">
        <x:f>COUNTIF('后台状态与版本'!$K$4:$K$9,"已实现")</x:f>
        <x:v>0</x:v>
      </x:c>
    </x:row>
    <x:row r="18">
      <x:c r="A18" s="29" t="str">
        <x:v>合计</x:v>
      </x:c>
      <x:c r="B18" s="29" t="n">
        <x:f>SUM(B10:B17)</x:f>
        <x:v>46</x:v>
      </x:c>
      <x:c r="C18" s="29" t="n">
        <x:f>SUM(C10:C17)</x:f>
        <x:v>43</x:v>
      </x:c>
      <x:c r="D18" s="29" t="n">
        <x:f>SUM(D10:D17)</x:f>
        <x:v>3</x:v>
      </x:c>
      <x:c r="E18" s="29" t="n">
        <x:f>SUM(E10:E17)</x:f>
        <x:v>34</x:v>
      </x:c>
      <x:c r="F18" s="29" t="n">
        <x:f>SUM(F10:F17)</x:f>
        <x:v>1</x:v>
      </x:c>
      <x:c r="G18" s="29" t="n">
        <x:f>SUM(G10:G17)</x:f>
        <x:v>11</x:v>
      </x:c>
      <x:c r="H18" s="29" t="n">
        <x:f>SUM(H10:H17)</x:f>
        <x:v>46</x:v>
      </x:c>
      <x:c r="I18" s="29" t="n">
        <x:f>SUM(I10:I17)</x:f>
        <x:v>0</x:v>
      </x:c>
    </x:row>
    <x:row r="21">
      <x:c r="A21" s="19" t="str">
        <x:v>使用说明</x:v>
      </x:c>
      <x:c r="B21" s="19"/>
      <x:c r="C21" s="19"/>
      <x:c r="D21" s="19"/>
      <x:c r="E21" s="19"/>
      <x:c r="F21" s="19"/>
      <x:c r="G21" s="19"/>
      <x:c r="H21" s="19"/>
      <x:c r="I21" s="19"/>
    </x:row>
    <x:row r="22" ht="34" customHeight="1">
      <x:c r="A22" s="34" t="str">
        <x:v>自动化层级</x:v>
      </x:c>
      <x:c r="B22" s="35" t="str">
        <x:v>API验证规则与状态，UI验证浏览器交互，混合验证端到端前后端一致。</x:v>
      </x:c>
      <x:c r="C22" s="35"/>
      <x:c r="D22" s="35"/>
      <x:c r="E22" s="35"/>
      <x:c r="F22" s="35"/>
      <x:c r="G22" s="35"/>
      <x:c r="H22" s="35"/>
      <x:c r="I22" s="35"/>
    </x:row>
    <x:row r="23" ht="34" customHeight="1">
      <x:c r="A23" s="34" t="str">
        <x:v>参数化数据</x:v>
      </x:c>
      <x:c r="B23" s="35" t="str">
        <x:v>同一业务判断的数据值保存在一行，落地脚本时使用test.each或等价机制展开。</x:v>
      </x:c>
      <x:c r="C23" s="35"/>
      <x:c r="D23" s="35"/>
      <x:c r="E23" s="35"/>
      <x:c r="F23" s="35"/>
      <x:c r="G23" s="35"/>
      <x:c r="H23" s="35"/>
      <x:c r="I23" s="35"/>
    </x:row>
    <x:row r="24" ht="34" customHeight="1">
      <x:c r="A24" s="34" t="str">
        <x:v>建议路径</x:v>
      </x:c>
      <x:c r="B24" s="35" t="str">
        <x:v>仅为规划目标，不表示仓库已存在对应测试框架或脚本。</x:v>
      </x:c>
      <x:c r="C24" s="35"/>
      <x:c r="D24" s="35"/>
      <x:c r="E24" s="35"/>
      <x:c r="F24" s="35"/>
      <x:c r="G24" s="35"/>
      <x:c r="H24" s="35"/>
      <x:c r="I24" s="35"/>
    </x:row>
    <x:row r="25" ht="34" customHeight="1">
      <x:c r="A25" s="34" t="str">
        <x:v>Mock与假时钟</x:v>
      </x:c>
      <x:c r="B25" s="35" t="str">
        <x:v>限时、暂停、响应丢失、并发、状态迁移和报告进度使用可控数据、假时钟与故障注入。</x:v>
      </x:c>
      <x:c r="C25" s="35"/>
      <x:c r="D25" s="35"/>
      <x:c r="E25" s="35"/>
      <x:c r="F25" s="35"/>
      <x:c r="G25" s="35"/>
      <x:c r="H25" s="35"/>
      <x:c r="I25" s="35"/>
    </x:row>
    <x:row r="26" ht="34" customHeight="1">
      <x:c r="A26" s="34" t="str">
        <x:v>脚本状态</x:v>
      </x:c>
      <x:c r="B26" s="35" t="str">
        <x:v>默认待实现；实现并执行后再填写执行、缺陷、修复和回归结果。</x:v>
      </x:c>
      <x:c r="C26" s="35"/>
      <x:c r="D26" s="35"/>
      <x:c r="E26" s="35"/>
      <x:c r="F26" s="35"/>
      <x:c r="G26" s="35"/>
      <x:c r="H26" s="35"/>
      <x:c r="I26" s="35"/>
    </x:row>
  </x:sheetData>
  <x:mergeCells>
    <x:mergeCell ref="A1:I1"/>
    <x:mergeCell ref="A2:I2"/>
    <x:mergeCell ref="B4:C4"/>
    <x:mergeCell ref="E4:F4"/>
    <x:mergeCell ref="H4:I4"/>
    <x:mergeCell ref="B5:F5"/>
    <x:mergeCell ref="H5:I5"/>
    <x:mergeCell ref="B6:I6"/>
    <x:mergeCell ref="A8:I8"/>
    <x:mergeCell ref="A21:I21"/>
    <x:mergeCell ref="B22:I22"/>
    <x:mergeCell ref="B23:I23"/>
    <x:mergeCell ref="B24:I24"/>
    <x:mergeCell ref="B25:I25"/>
    <x:mergeCell ref="B26:I26"/>
  </x:mergeCells>
  <x:pageMargins left="0.7" right="0.7" top="0.75" bottom="0.75" header="0.3" footer="0.3"/>
  <x:tableParts count="1">
    <x:tablePart xmlns:r="http://schemas.openxmlformats.org/officeDocument/2006/relationships" r:id="Rd7a6bb4e4d4b43b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36" hidden="0" customWidth="1"/>
    <x:col min="4" max="4" width="10" hidden="0" customWidth="1"/>
    <x:col min="5" max="5" width="12" hidden="0" customWidth="1"/>
    <x:col min="6" max="6" width="38" hidden="0" customWidth="1"/>
    <x:col min="7" max="7" width="46" hidden="0" customWidth="1"/>
    <x:col min="8" max="8" width="50" hidden="0" customWidth="1"/>
    <x:col min="9" max="9" width="54" hidden="0" customWidth="1"/>
    <x:col min="10" max="10" width="4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30" hidden="0" customWidth="1"/>
    <x:col min="16" max="16" width="26" hidden="0" customWidth="1"/>
    <x:col min="17" max="17" width="14" hidden="0" customWidth="1"/>
    <x:col min="18" max="18" width="14" hidden="0" customWidth="1"/>
  </x:cols>
  <x:sheetData>
    <x:row r="1" ht="34" customHeight="1">
      <x:c r="A1" s="37" t="str">
        <x:v>4.8 诊断测试自动化测试用例｜首页与年份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</x:row>
    <x:row r="2" ht="26" customHeight="1">
      <x:c r="A2" s="7" t="str">
        <x:v>来源：文档/4-需求文档/4.8 诊断测试.md　｜　范围：参数化规则、状态机、并发、时序与故障注入　｜　首页与年份：5 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 ht="36" customHeight="1">
      <x:c r="A3" s="42" t="str">
        <x:v>用例编号</x:v>
      </x:c>
      <x:c r="B3" s="42" t="str">
        <x:v>功能模块</x:v>
      </x:c>
      <x:c r="C3" s="42" t="str">
        <x:v>用例标题</x:v>
      </x:c>
      <x:c r="D3" s="42" t="str">
        <x:v>优先级</x:v>
      </x:c>
      <x:c r="E3" s="42" t="str">
        <x:v>自动化层级</x:v>
      </x:c>
      <x:c r="F3" s="42" t="str">
        <x:v>前置数据/Mock</x:v>
      </x:c>
      <x:c r="G3" s="42" t="str">
        <x:v>参数化测试数据</x:v>
      </x:c>
      <x:c r="H3" s="42" t="str">
        <x:v>自动化步骤</x:v>
      </x:c>
      <x:c r="I3" s="42" t="str">
        <x:v>断言</x:v>
      </x:c>
      <x:c r="J3" s="42" t="str">
        <x:v>建议脚本路径</x:v>
      </x:c>
      <x:c r="K3" s="42" t="str">
        <x:v>脚本状态</x:v>
      </x:c>
      <x:c r="L3" s="42" t="str">
        <x:v>执行状态</x:v>
      </x:c>
      <x:c r="M3" s="42" t="str">
        <x:v>是否通过</x:v>
      </x:c>
      <x:c r="N3" s="42" t="str">
        <x:v>缺陷等级</x:v>
      </x:c>
      <x:c r="O3" s="42" t="str">
        <x:v>实际结果</x:v>
      </x:c>
      <x:c r="P3" s="42" t="str">
        <x:v>备注</x:v>
      </x:c>
      <x:c r="Q3" s="42" t="str">
        <x:v>修复情况</x:v>
      </x:c>
      <x:c r="R3" s="42" t="str">
        <x:v>回归情况</x:v>
      </x:c>
    </x:row>
    <x:row r="4" ht="85" customHeight="1">
      <x:c r="A4" s="49" t="str">
        <x:v>AUT-DIAG-ENTRY-001</x:v>
      </x:c>
      <x:c r="B4" s="49" t="str">
        <x:v>首页与年份</x:v>
      </x:c>
      <x:c r="C4" s="49" t="str">
        <x:v>诊断入口认证与登录回跳矩阵</x:v>
      </x:c>
      <x:c r="D4" s="49" t="str">
        <x:v>P0</x:v>
      </x:c>
      <x:c r="E4" s="49" t="str">
        <x:v>混合</x:v>
      </x:c>
      <x:c r="F4" s="47" t="str">
        <x:v>准备游客、普通学生、会员学生及可用年份；隔离每组会话</x:v>
      </x:c>
      <x:c r="G4" s="47" t="str">
        <x:v>游客浏览；游客开始；已登录开始；登录成功返回；登录取消</x:v>
      </x:c>
      <x:c r="H4" s="47" t="str">
        <x:v>1. 按参数初始化会话并读取测试记录基线
2. 访问诊断首页并执行浏览或开始操作
3. 需要登录时完成或取消认证
4. 重新读取页面路径、年份上下文和测试记录
5. 清理会话与测试数据</x:v>
      </x:c>
      <x:c r="I4" s="47" t="str">
        <x:v>游客可浏览但开始被认证拦截；登录成功只回到站内诊断首页；取消不创建测试；已登录用户不重复进入登录页。</x:v>
      </x:c>
      <x:c r="J4" s="47" t="str">
        <x:v>quiz-web/e2e/diagnostic/entry-auth.spec.ts</x:v>
      </x:c>
      <x:c r="K4" s="50" t="str">
        <x:v>待实现</x:v>
      </x:c>
      <x:c r="L4" s="50" t="str">
        <x:v>未执行</x:v>
      </x:c>
      <x:c r="M4" s="50"/>
      <x:c r="N4" s="50"/>
      <x:c r="O4" s="50"/>
      <x:c r="P4" s="50"/>
      <x:c r="Q4" s="50"/>
      <x:c r="R4" s="50"/>
    </x:row>
    <x:row r="5" ht="85" customHeight="1">
      <x:c r="A5" s="52" t="str">
        <x:v>AUT-DIAG-ENTRY-002</x:v>
      </x:c>
      <x:c r="B5" s="52" t="str">
        <x:v>首页与年份</x:v>
      </x:c>
      <x:c r="C5" s="52" t="str">
        <x:v>快速考试切换的最后请求胜出规则</x:v>
      </x:c>
      <x:c r="D5" s="52" t="str">
        <x:v>P0</x:v>
      </x:c>
      <x:c r="E5" s="52" t="str">
        <x:v>UI</x:v>
      </x:c>
      <x:c r="F5" s="51" t="str">
        <x:v>Mock ESAT/TMUA年份请求为不同延迟和不同年份集合</x:v>
      </x:c>
      <x:c r="G5" s="51" t="str">
        <x:v>ESAT慢/TMUA快；TMUA慢/ESAT快；连续切换3次；失败响应晚到</x:v>
      </x:c>
      <x:c r="H5" s="51" t="str">
        <x:v>1. 加载诊断首页并记录初始考试
2. 按参数快速切换全局考试类型
3. 释放各Mock响应并等待页面稳定
4. 读取标题、年份、弹窗数据和最终考试
5. 恢复Mock</x:v>
      </x:c>
      <x:c r="I5" s="51" t="str">
        <x:v>只渲染最后一次选择的数据；旧响应和失败态不得覆盖最新考试；诊断页内无第二套考试筛选。</x:v>
      </x:c>
      <x:c r="J5" s="51" t="str">
        <x:v>quiz-web/e2e/diagnostic/exam-switch-race.spec.ts</x:v>
      </x:c>
      <x:c r="K5" s="50" t="str">
        <x:v>待实现</x:v>
      </x:c>
      <x:c r="L5" s="50" t="str">
        <x:v>未执行</x:v>
      </x:c>
      <x:c r="M5" s="50"/>
      <x:c r="N5" s="50"/>
      <x:c r="O5" s="50"/>
      <x:c r="P5" s="50"/>
      <x:c r="Q5" s="50"/>
      <x:c r="R5" s="50"/>
    </x:row>
    <x:row r="6" ht="85" customHeight="1">
      <x:c r="A6" s="49" t="str">
        <x:v>AUT-DIAG-ENTRY-003</x:v>
      </x:c>
      <x:c r="B6" s="49" t="str">
        <x:v>首页与年份</x:v>
      </x:c>
      <x:c r="C6" s="49" t="str">
        <x:v>年份卡片状态与历史次数聚合规则</x:v>
      </x:c>
      <x:c r="D6" s="49" t="str">
        <x:v>P0</x:v>
      </x:c>
      <x:c r="E6" s="49" t="str">
        <x:v>API</x:v>
      </x:c>
      <x:c r="F6" s="47" t="str">
        <x:v>为同一考试年份生成无记录、多个已完成及进行中+历史组合</x:v>
      </x:c>
      <x:c r="G6" s="47" t="str">
        <x:v>无记录；完成1/3次；进行中无历史；进行中+2次历史；跨年份记录</x:v>
      </x:c>
      <x:c r="H6" s="47" t="str">
        <x:v>1. 建立参数化年份和测试记录并读取聚合基线
2. 查询当前考试年份列表
3. 将一条进行中记录正式交卷后再次查询
4. 比较状态、次数、排序及其他年份
5. 清理记录</x:v>
      </x:c>
      <x:c r="I6" s="47" t="str">
        <x:v>年份倒序；进行中优先于已完成；正式交卷后目标年份历史次数+1并变为已完成；跨年份记录不串入。</x:v>
      </x:c>
      <x:c r="J6" s="47" t="str">
        <x:v>api/tests/diagnostic/year-summary.spec.ts</x:v>
      </x:c>
      <x:c r="K6" s="50" t="str">
        <x:v>待实现</x:v>
      </x:c>
      <x:c r="L6" s="50" t="str">
        <x:v>未执行</x:v>
      </x:c>
      <x:c r="M6" s="50"/>
      <x:c r="N6" s="50"/>
      <x:c r="O6" s="50"/>
      <x:c r="P6" s="50"/>
      <x:c r="Q6" s="50"/>
      <x:c r="R6" s="50"/>
    </x:row>
    <x:row r="7" ht="85" customHeight="1">
      <x:c r="A7" s="52" t="str">
        <x:v>AUT-DIAG-ENTRY-004</x:v>
      </x:c>
      <x:c r="B7" s="52" t="str">
        <x:v>首页与年份</x:v>
      </x:c>
      <x:c r="C7" s="52" t="str">
        <x:v>年份失败态、空态与下线记录保留矩阵</x:v>
      </x:c>
      <x:c r="D7" s="52" t="str">
        <x:v>P0</x:v>
      </x:c>
      <x:c r="E7" s="52" t="str">
        <x:v>混合</x:v>
      </x:c>
      <x:c r="F7" s="51" t="str">
        <x:v>Mock列表失败、空结果，以及下线卷上的进行中/完成记录</x:v>
      </x:c>
      <x:c r="G7" s="51" t="str">
        <x:v>网络失败；成功空；草稿+进行中；审核中+完成；归档+进行中和完成</x:v>
      </x:c>
      <x:c r="H7" s="51" t="str">
        <x:v>1. 为每组建立页面和记录状态
2. 加载年份区域并读取可见文案与操作
3. 失败组执行重试，下线组执行继续或历史查看
4. 重新读取列表和测试记录
5. 还原Mock</x:v>
      </x:c>
      <x:c r="I7" s="51" t="str">
        <x:v>失败不伪装为空且有重试；成功空显示明确空态；下线卷的进行中/历史年份保留；无记录下线卷不展示新入口。</x:v>
      </x:c>
      <x:c r="J7" s="51" t="str">
        <x:v>quiz-web/e2e/diagnostic/year-empty-error-retained.spec.ts</x:v>
      </x:c>
      <x:c r="K7" s="50" t="str">
        <x:v>待实现</x:v>
      </x:c>
      <x:c r="L7" s="50" t="str">
        <x:v>未执行</x:v>
      </x:c>
      <x:c r="M7" s="50"/>
      <x:c r="N7" s="50"/>
      <x:c r="O7" s="50"/>
      <x:c r="P7" s="50" t="str">
        <x:v>当前实现待对齐：年份卡片需显示已下线。</x:v>
      </x:c>
      <x:c r="Q7" s="50"/>
      <x:c r="R7" s="50"/>
    </x:row>
    <x:row r="8" ht="85" customHeight="1">
      <x:c r="A8" s="49" t="str">
        <x:v>AUT-DIAG-ENTRY-005</x:v>
      </x:c>
      <x:c r="B8" s="49" t="str">
        <x:v>首页与年份</x:v>
      </x:c>
      <x:c r="C8" s="49" t="str">
        <x:v>STEP诊断入口统一不可用</x:v>
      </x:c>
      <x:c r="D8" s="49" t="str">
        <x:v>P1</x:v>
      </x:c>
      <x:c r="E8" s="49" t="str">
        <x:v>混合</x:v>
      </x:c>
      <x:c r="F8" s="47" t="str">
        <x:v>准备游客、学生、管理员会话并构造STEP导航请求</x:v>
      </x:c>
      <x:c r="G8" s="47" t="str">
        <x:v>游客；普通学生；管理员；直接路由；构造接口考试类型STEP</x:v>
      </x:c>
      <x:c r="H8" s="47" t="str">
        <x:v>1. 按参数建立身份并记录现有测试数
2. 从导航或直接路径尝试进入STEP诊断
3. 调用对应诊断列表或创建行为
4. 读取提示、路由和测试数
5. 清理会话</x:v>
      </x:c>
      <x:c r="I8" s="47" t="str">
        <x:v>统一提示STEP功能推进中；不能开始、继续或重测；不得生成STEP测试记录。</x:v>
      </x:c>
      <x:c r="J8" s="47" t="str">
        <x:v>api/tests/diagnostic/step-disabled.spec.ts</x:v>
      </x:c>
      <x:c r="K8" s="50" t="str">
        <x:v>待实现</x:v>
      </x:c>
      <x:c r="L8" s="50" t="str">
        <x:v>未执行</x:v>
      </x:c>
      <x:c r="M8" s="50"/>
      <x:c r="N8" s="50"/>
      <x:c r="O8" s="50"/>
      <x:c r="P8" s="50"/>
      <x:c r="Q8" s="50"/>
      <x:c r="R8" s="50"/>
    </x:row>
  </x:sheetData>
  <x:mergeCells>
    <x:mergeCell ref="A1:R1"/>
    <x:mergeCell ref="A2:R2"/>
  </x:mergeCells>
  <x:conditionalFormatting sqref="D4:D8">
    <x:cfRule type="containsText" dxfId="0" priority="1" operator="containsText" text="P0"/>
    <x:cfRule type="containsText" dxfId="1" priority="2" operator="containsText" text="P1"/>
  </x:conditionalFormatting>
  <x:conditionalFormatting sqref="L4:L8">
    <x:cfRule type="containsText" dxfId="2" priority="3" operator="containsText" text="通过"/>
    <x:cfRule type="containsText" dxfId="3" priority="4" operator="containsText" text="失败"/>
    <x:cfRule type="containsText" dxfId="4" priority="5" operator="containsText" text="阻塞"/>
    <x:cfRule type="containsText" dxfId="5" priority="6" operator="containsText" text="未执行"/>
  </x:conditionalFormatting>
  <x:conditionalFormatting sqref="M4:M8">
    <x:cfRule type="containsText" dxfId="6" priority="7" operator="containsText" text="是"/>
    <x:cfRule type="containsText" dxfId="7" priority="8" operator="containsText" text="否"/>
  </x:conditionalFormatting>
  <x:conditionalFormatting sqref="N4:N8">
    <x:cfRule type="containsText" dxfId="8" priority="9" operator="containsText" text="阻断"/>
    <x:cfRule type="containsText" dxfId="9" priority="10" operator="containsText" text="高"/>
    <x:cfRule type="containsText" dxfId="10" priority="11" operator="containsText" text="中"/>
  </x:conditionalFormatting>
  <x:conditionalFormatting sqref="Q4:Q8">
    <x:cfRule type="containsText" dxfId="11" priority="12" operator="containsText" text="已完成"/>
    <x:cfRule type="containsText" dxfId="12" priority="13" operator="containsText" text="待确认"/>
  </x:conditionalFormatting>
  <x:conditionalFormatting sqref="R4:R8">
    <x:cfRule type="containsText" dxfId="13" priority="14" operator="containsText" text="通过"/>
    <x:cfRule type="containsText" dxfId="14" priority="15" operator="containsText" text="不通过"/>
  </x:conditionalFormatting>
  <x:conditionalFormatting sqref="K4:K8">
    <x:cfRule type="containsText" dxfId="15" priority="16" operator="containsText" text="已实现"/>
    <x:cfRule type="containsText" dxfId="16" priority="17" operator="containsText" text="开发中"/>
    <x:cfRule type="containsText" dxfId="17" priority="18" operator="containsText" text="暂缓"/>
  </x:conditionalFormatting>
  <x:dataValidations count="8">
    <x:dataValidation type="list" sqref="D4:D8">
      <x:formula1>"P0,P1,P2,P3"</x:formula1>
    </x:dataValidation>
    <x:dataValidation type="list" sqref="E4:E8">
      <x:formula1>"API,UI,混合"</x:formula1>
    </x:dataValidation>
    <x:dataValidation type="list" sqref="K4:K8">
      <x:formula1>"待实现,开发中,已实现,暂缓"</x:formula1>
    </x:dataValidation>
    <x:dataValidation type="list" sqref="L4:L8">
      <x:formula1>"未执行,通过,失败,阻塞,不适用"</x:formula1>
    </x:dataValidation>
    <x:dataValidation type="list" sqref="M4:M8">
      <x:formula1>"是,否"</x:formula1>
    </x:dataValidation>
    <x:dataValidation type="list" sqref="N4:N8">
      <x:formula1>"阻断,高,中,低,轻微"</x:formula1>
    </x:dataValidation>
    <x:dataValidation type="list" sqref="Q4:Q8">
      <x:formula1>"已完成,待确认,暂不修复"</x:formula1>
    </x:dataValidation>
    <x:dataValidation type="list" sqref="R4:R8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2e9ff5efd84b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36" hidden="0" customWidth="1"/>
    <x:col min="4" max="4" width="10" hidden="0" customWidth="1"/>
    <x:col min="5" max="5" width="12" hidden="0" customWidth="1"/>
    <x:col min="6" max="6" width="38" hidden="0" customWidth="1"/>
    <x:col min="7" max="7" width="46" hidden="0" customWidth="1"/>
    <x:col min="8" max="8" width="50" hidden="0" customWidth="1"/>
    <x:col min="9" max="9" width="54" hidden="0" customWidth="1"/>
    <x:col min="10" max="10" width="4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30" hidden="0" customWidth="1"/>
    <x:col min="16" max="16" width="26" hidden="0" customWidth="1"/>
    <x:col min="17" max="17" width="14" hidden="0" customWidth="1"/>
    <x:col min="18" max="18" width="14" hidden="0" customWidth="1"/>
  </x:cols>
  <x:sheetData>
    <x:row r="1" ht="34" customHeight="1">
      <x:c r="A1" s="37" t="str">
        <x:v>4.8 诊断测试自动化测试用例｜结构与选卷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</x:row>
    <x:row r="2" ht="26" customHeight="1">
      <x:c r="A2" s="7" t="str">
        <x:v>来源：文档/4-需求文档/4.8 诊断测试.md　｜　范围：参数化规则、状态机、并发、时序与故障注入　｜　结构与选卷：6 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 ht="36" customHeight="1">
      <x:c r="A3" s="42" t="str">
        <x:v>用例编号</x:v>
      </x:c>
      <x:c r="B3" s="42" t="str">
        <x:v>功能模块</x:v>
      </x:c>
      <x:c r="C3" s="42" t="str">
        <x:v>用例标题</x:v>
      </x:c>
      <x:c r="D3" s="42" t="str">
        <x:v>优先级</x:v>
      </x:c>
      <x:c r="E3" s="42" t="str">
        <x:v>自动化层级</x:v>
      </x:c>
      <x:c r="F3" s="42" t="str">
        <x:v>前置数据/Mock</x:v>
      </x:c>
      <x:c r="G3" s="42" t="str">
        <x:v>参数化测试数据</x:v>
      </x:c>
      <x:c r="H3" s="42" t="str">
        <x:v>自动化步骤</x:v>
      </x:c>
      <x:c r="I3" s="42" t="str">
        <x:v>断言</x:v>
      </x:c>
      <x:c r="J3" s="42" t="str">
        <x:v>建议脚本路径</x:v>
      </x:c>
      <x:c r="K3" s="42" t="str">
        <x:v>脚本状态</x:v>
      </x:c>
      <x:c r="L3" s="42" t="str">
        <x:v>执行状态</x:v>
      </x:c>
      <x:c r="M3" s="42" t="str">
        <x:v>是否通过</x:v>
      </x:c>
      <x:c r="N3" s="42" t="str">
        <x:v>缺陷等级</x:v>
      </x:c>
      <x:c r="O3" s="42" t="str">
        <x:v>实际结果</x:v>
      </x:c>
      <x:c r="P3" s="42" t="str">
        <x:v>备注</x:v>
      </x:c>
      <x:c r="Q3" s="42" t="str">
        <x:v>修复情况</x:v>
      </x:c>
      <x:c r="R3" s="42" t="str">
        <x:v>回归情况</x:v>
      </x:c>
    </x:row>
    <x:row r="4" ht="85" customHeight="1">
      <x:c r="A4" s="49" t="str">
        <x:v>AUT-DIAG-SELECT-001</x:v>
      </x:c>
      <x:c r="B4" s="49" t="str">
        <x:v>结构与选卷</x:v>
      </x:c>
      <x:c r="C4" s="49" t="str">
        <x:v>ESAT选科合法性与精确组合参数矩阵</x:v>
      </x:c>
      <x:c r="D4" s="49" t="str">
        <x:v>P0</x:v>
      </x:c>
      <x:c r="E4" s="49" t="str">
        <x:v>混合</x:v>
      </x:c>
      <x:c r="F4" s="47" t="str">
        <x:v>准备多个年份与科目组合卷，含上下线和重复科目异常数据</x:v>
      </x:c>
      <x:c r="G4" s="47" t="str">
        <x:v>M1必选；少于3科；多于3科；重复科；合法4种两科组合；顺序不同但集合相同；跨年份</x:v>
      </x:c>
      <x:c r="H4" s="47" t="str">
        <x:v>1. 建立组合卷并读取当前年份基线
2. 逐组提交选科集合并观察UI按钮
3. 查询匹配卷并尝试创建
4. 读取创建结果和冻结科目顺序
5. 清理测试记录</x:v>
      </x:c>
      <x:c r="I4" s="47" t="str">
        <x:v>只有包含M1且恰好3个不重复科目的合法集合可创建；按年份和科目集合精确匹配；无匹配不创建；UI与API规则一致。</x:v>
      </x:c>
      <x:c r="J4" s="47" t="str">
        <x:v>api/tests/diagnostic/esat-selection-matrix.spec.ts</x:v>
      </x:c>
      <x:c r="K4" s="50" t="str">
        <x:v>待实现</x:v>
      </x:c>
      <x:c r="L4" s="50" t="str">
        <x:v>未执行</x:v>
      </x:c>
      <x:c r="M4" s="50"/>
      <x:c r="N4" s="50"/>
      <x:c r="O4" s="50"/>
      <x:c r="P4" s="50"/>
      <x:c r="Q4" s="50"/>
      <x:c r="R4" s="50"/>
    </x:row>
    <x:row r="5" ht="85" customHeight="1">
      <x:c r="A5" s="52" t="str">
        <x:v>AUT-DIAG-SELECT-002</x:v>
      </x:c>
      <x:c r="B5" s="52" t="str">
        <x:v>结构与选卷</x:v>
      </x:c>
      <x:c r="C5" s="52" t="str">
        <x:v>TMUA完整双卷结构参数矩阵</x:v>
      </x:c>
      <x:c r="D5" s="52" t="str">
        <x:v>P0</x:v>
      </x:c>
      <x:c r="E5" s="52" t="str">
        <x:v>API</x:v>
      </x:c>
      <x:c r="F5" s="51" t="str">
        <x:v>构造TMUA分段、题量、顺序和时长组合</x:v>
      </x:c>
      <x:c r="G5" s="51" t="str">
        <x:v>P1+P2各20题75分钟；缺P1；缺P2；顺序反转；题量19/21；时长74/76；额外分段</x:v>
      </x:c>
      <x:c r="H5" s="51" t="str">
        <x:v>1. 逐组创建候选试卷结构
2. 执行上线校验并记录结果
3. 对可见异常数据调用诊断匹配与创建
4. 读取测试记录和错误包
5. 清理试卷</x:v>
      </x:c>
      <x:c r="I5" s="51" t="str">
        <x:v>仅P1后P2、各20题和75分钟的完整双卷可上线并创建；其他组合被明确拒绝且无测试记录。</x:v>
      </x:c>
      <x:c r="J5" s="51" t="str">
        <x:v>api/tests/diagnostic/tmua-structure-matrix.spec.ts</x:v>
      </x:c>
      <x:c r="K5" s="50" t="str">
        <x:v>待实现</x:v>
      </x:c>
      <x:c r="L5" s="50" t="str">
        <x:v>未执行</x:v>
      </x:c>
      <x:c r="M5" s="50"/>
      <x:c r="N5" s="50"/>
      <x:c r="O5" s="50"/>
      <x:c r="P5" s="50"/>
      <x:c r="Q5" s="50"/>
      <x:c r="R5" s="50"/>
    </x:row>
    <x:row r="6" ht="85" customHeight="1">
      <x:c r="A6" s="49" t="str">
        <x:v>AUT-DIAG-SELECT-003</x:v>
      </x:c>
      <x:c r="B6" s="49" t="str">
        <x:v>结构与选卷</x:v>
      </x:c>
      <x:c r="C6" s="49" t="str">
        <x:v>开始时重新校验考试开放、发布状态与结构</x:v>
      </x:c>
      <x:c r="D6" s="49" t="str">
        <x:v>P0</x:v>
      </x:c>
      <x:c r="E6" s="49" t="str">
        <x:v>API</x:v>
      </x:c>
      <x:c r="F6" s="47" t="str">
        <x:v>先获取可操作选卷结果，再在创建前修改业务条件</x:v>
      </x:c>
      <x:c r="G6" s="47" t="str">
        <x:v>考试关闭；已上线→草稿/审核中/归档；结构失效；试卷删除；保持有效</x:v>
      </x:c>
      <x:c r="H6" s="47" t="str">
        <x:v>1. 获取可开始的选卷结果并记录测试数基线
2. 按参数修改最新条件
3. 使用旧选卷信息调用创建
4. 读取响应、测试数和最新年份状态
5. 恢复试卷数据</x:v>
      </x:c>
      <x:c r="I6" s="47" t="str">
        <x:v>创建使用最新条件；任何失效条件均拒绝且测试数不变；只有保持有效时创建一场测试。</x:v>
      </x:c>
      <x:c r="J6" s="47" t="str">
        <x:v>api/tests/diagnostic/start-latest-validation.spec.ts</x:v>
      </x:c>
      <x:c r="K6" s="50" t="str">
        <x:v>待实现</x:v>
      </x:c>
      <x:c r="L6" s="50" t="str">
        <x:v>未执行</x:v>
      </x:c>
      <x:c r="M6" s="50"/>
      <x:c r="N6" s="50"/>
      <x:c r="O6" s="50"/>
      <x:c r="P6" s="50"/>
      <x:c r="Q6" s="50"/>
      <x:c r="R6" s="50"/>
    </x:row>
    <x:row r="7" ht="85" customHeight="1">
      <x:c r="A7" s="52" t="str">
        <x:v>AUT-DIAG-SELECT-004</x:v>
      </x:c>
      <x:c r="B7" s="52" t="str">
        <x:v>结构与选卷</x:v>
      </x:c>
      <x:c r="C7" s="52" t="str">
        <x:v>免费卷与考试类型会员绑定矩阵</x:v>
      </x:c>
      <x:c r="D7" s="52" t="str">
        <x:v>P0</x:v>
      </x:c>
      <x:c r="E7" s="52" t="str">
        <x:v>API</x:v>
      </x:c>
      <x:c r="F7" s="51" t="str">
        <x:v>准备免费卷、ESAT会员卷、TMUA会员卷及不同状态会员</x:v>
      </x:c>
      <x:c r="G7" s="51" t="str">
        <x:v>游客；普通学生；ESAT会员；TMUA会员；双会员；过期会员；未来会员；管理员</x:v>
      </x:c>
      <x:c r="H7" s="51" t="str">
        <x:v>1. 为每个身份建立会员与试卷基线
2. 分别请求免费卷和两类会员卷的新建及重测
3. 读取许可结果和测试记录
4. 切换考试后重复读取
5. 清理会员和测试</x:v>
      </x:c>
      <x:c r="I7" s="51" t="str">
        <x:v>已登录学生均可用免费卷；会员卷只接受同考试当前有效会员；过期/未来无效；管理员按既定管理员规则；跨考试不解锁。</x:v>
      </x:c>
      <x:c r="J7" s="51" t="str">
        <x:v>api/tests/diagnostic/entitlement-binding.spec.ts</x:v>
      </x:c>
      <x:c r="K7" s="50" t="str">
        <x:v>待实现</x:v>
      </x:c>
      <x:c r="L7" s="50" t="str">
        <x:v>未执行</x:v>
      </x:c>
      <x:c r="M7" s="50"/>
      <x:c r="N7" s="50"/>
      <x:c r="O7" s="50"/>
      <x:c r="P7" s="50"/>
      <x:c r="Q7" s="50"/>
      <x:c r="R7" s="50"/>
    </x:row>
    <x:row r="8" ht="85" customHeight="1">
      <x:c r="A8" s="49" t="str">
        <x:v>AUT-DIAG-SELECT-005</x:v>
      </x:c>
      <x:c r="B8" s="49" t="str">
        <x:v>结构与选卷</x:v>
      </x:c>
      <x:c r="C8" s="49" t="str">
        <x:v>支付成功事件刷新来源考试权益</x:v>
      </x:c>
      <x:c r="D8" s="49" t="str">
        <x:v>P0</x:v>
      </x:c>
      <x:c r="E8" s="49" t="str">
        <x:v>混合</x:v>
      </x:c>
      <x:c r="F8" s="47" t="str">
        <x:v>Mock统一支付弹窗与成功、失败、关闭事件；学生无目标会员</x:v>
      </x:c>
      <x:c r="G8" s="47" t="str">
        <x:v>ESAT成功；TMUA成功；支付失败；主动关闭；成功事件重复</x:v>
      </x:c>
      <x:c r="H8" s="47" t="str">
        <x:v>1. 打开会员卷并记录两类权益与锁定基线
2. 按参数执行支付结果事件
3. 不刷新整页，重新读取来源卷和另一考试状态
4. 尝试开始来源卷
5. 清理订单和会员</x:v>
      </x:c>
      <x:c r="I8" s="47" t="str">
        <x:v>成功只刷新来源考试并即时解锁；另一考试保持不变；失败或关闭不生效；重复成功事件不重复延长。</x:v>
      </x:c>
      <x:c r="J8" s="47" t="str">
        <x:v>quiz-web/e2e/diagnostic/payment-entitlement-refresh.spec.ts</x:v>
      </x:c>
      <x:c r="K8" s="50" t="str">
        <x:v>待实现</x:v>
      </x:c>
      <x:c r="L8" s="50" t="str">
        <x:v>未执行</x:v>
      </x:c>
      <x:c r="M8" s="50"/>
      <x:c r="N8" s="50"/>
      <x:c r="O8" s="50"/>
      <x:c r="P8" s="50"/>
      <x:c r="Q8" s="50"/>
      <x:c r="R8" s="50"/>
    </x:row>
    <x:row r="9" ht="85" customHeight="1">
      <x:c r="A9" s="52" t="str">
        <x:v>AUT-DIAG-SELECT-006</x:v>
      </x:c>
      <x:c r="B9" s="52" t="str">
        <x:v>结构与选卷</x:v>
      </x:c>
      <x:c r="C9" s="52" t="str">
        <x:v>年份会员锁定只统计当前可新建试卷</x:v>
      </x:c>
      <x:c r="D9" s="52" t="str">
        <x:v>P0</x:v>
      </x:c>
      <x:c r="E9" s="52" t="str">
        <x:v>API</x:v>
      </x:c>
      <x:c r="F9" s="51" t="str">
        <x:v>同年份混合上线/下线、免费/会员卷并准备普通学生历史</x:v>
      </x:c>
      <x:c r="G9" s="51" t="str">
        <x:v>上线仅会员+下线免费；上线免费+下线会员；全部上线会员；全部下线；上线会员+进行中下线免费</x:v>
      </x:c>
      <x:c r="H9" s="51" t="str">
        <x:v>1. 建立参数化试卷与学生记录
2. 查询普通学生年份摘要
3. 读取锁定、继续和历史入口
4. 改变一卷状态后再次查询
5. 清理数据</x:v>
      </x:c>
      <x:c r="I9" s="51" t="str">
        <x:v>锁定只由当前已上线且可创建的卷决定；下线免费卷不能错误解锁；进行中和历史入口不被锁遮罩。</x:v>
      </x:c>
      <x:c r="J9" s="51" t="str">
        <x:v>api/tests/diagnostic/year-lock-aggregation.spec.ts</x:v>
      </x:c>
      <x:c r="K9" s="50" t="str">
        <x:v>待实现</x:v>
      </x:c>
      <x:c r="L9" s="50" t="str">
        <x:v>未执行</x:v>
      </x:c>
      <x:c r="M9" s="50"/>
      <x:c r="N9" s="50"/>
      <x:c r="O9" s="50"/>
      <x:c r="P9" s="50" t="str">
        <x:v>当前实现待对齐，建议作为优先自动化守护。</x:v>
      </x:c>
      <x:c r="Q9" s="50"/>
      <x:c r="R9" s="50"/>
    </x:row>
  </x:sheetData>
  <x:mergeCells>
    <x:mergeCell ref="A1:R1"/>
    <x:mergeCell ref="A2:R2"/>
  </x:mergeCells>
  <x:conditionalFormatting sqref="D4:D9">
    <x:cfRule type="containsText" dxfId="18" priority="1" operator="containsText" text="P0"/>
    <x:cfRule type="containsText" dxfId="19" priority="2" operator="containsText" text="P1"/>
  </x:conditionalFormatting>
  <x:conditionalFormatting sqref="L4:L9">
    <x:cfRule type="containsText" dxfId="20" priority="3" operator="containsText" text="通过"/>
    <x:cfRule type="containsText" dxfId="21" priority="4" operator="containsText" text="失败"/>
    <x:cfRule type="containsText" dxfId="22" priority="5" operator="containsText" text="阻塞"/>
    <x:cfRule type="containsText" dxfId="23" priority="6" operator="containsText" text="未执行"/>
  </x:conditionalFormatting>
  <x:conditionalFormatting sqref="M4:M9">
    <x:cfRule type="containsText" dxfId="24" priority="7" operator="containsText" text="是"/>
    <x:cfRule type="containsText" dxfId="25" priority="8" operator="containsText" text="否"/>
  </x:conditionalFormatting>
  <x:conditionalFormatting sqref="N4:N9">
    <x:cfRule type="containsText" dxfId="26" priority="9" operator="containsText" text="阻断"/>
    <x:cfRule type="containsText" dxfId="27" priority="10" operator="containsText" text="高"/>
    <x:cfRule type="containsText" dxfId="28" priority="11" operator="containsText" text="中"/>
  </x:conditionalFormatting>
  <x:conditionalFormatting sqref="Q4:Q9">
    <x:cfRule type="containsText" dxfId="29" priority="12" operator="containsText" text="已完成"/>
    <x:cfRule type="containsText" dxfId="30" priority="13" operator="containsText" text="待确认"/>
  </x:conditionalFormatting>
  <x:conditionalFormatting sqref="R4:R9">
    <x:cfRule type="containsText" dxfId="31" priority="14" operator="containsText" text="通过"/>
    <x:cfRule type="containsText" dxfId="32" priority="15" operator="containsText" text="不通过"/>
  </x:conditionalFormatting>
  <x:conditionalFormatting sqref="K4:K9">
    <x:cfRule type="containsText" dxfId="33" priority="16" operator="containsText" text="已实现"/>
    <x:cfRule type="containsText" dxfId="34" priority="17" operator="containsText" text="开发中"/>
    <x:cfRule type="containsText" dxfId="35" priority="18" operator="containsText" text="暂缓"/>
  </x:conditionalFormatting>
  <x:dataValidations count="8">
    <x:dataValidation type="list" sqref="D4:D9">
      <x:formula1>"P0,P1,P2,P3"</x:formula1>
    </x:dataValidation>
    <x:dataValidation type="list" sqref="E4:E9">
      <x:formula1>"API,UI,混合"</x:formula1>
    </x:dataValidation>
    <x:dataValidation type="list" sqref="K4:K9">
      <x:formula1>"待实现,开发中,已实现,暂缓"</x:formula1>
    </x:dataValidation>
    <x:dataValidation type="list" sqref="L4:L9">
      <x:formula1>"未执行,通过,失败,阻塞,不适用"</x:formula1>
    </x:dataValidation>
    <x:dataValidation type="list" sqref="M4:M9">
      <x:formula1>"是,否"</x:formula1>
    </x:dataValidation>
    <x:dataValidation type="list" sqref="N4:N9">
      <x:formula1>"阻断,高,中,低,轻微"</x:formula1>
    </x:dataValidation>
    <x:dataValidation type="list" sqref="Q4:Q9">
      <x:formula1>"已完成,待确认,暂不修复"</x:formula1>
    </x:dataValidation>
    <x:dataValidation type="list" sqref="R4:R9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17ad42dd7b46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36" hidden="0" customWidth="1"/>
    <x:col min="4" max="4" width="10" hidden="0" customWidth="1"/>
    <x:col min="5" max="5" width="12" hidden="0" customWidth="1"/>
    <x:col min="6" max="6" width="38" hidden="0" customWidth="1"/>
    <x:col min="7" max="7" width="46" hidden="0" customWidth="1"/>
    <x:col min="8" max="8" width="50" hidden="0" customWidth="1"/>
    <x:col min="9" max="9" width="54" hidden="0" customWidth="1"/>
    <x:col min="10" max="10" width="4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30" hidden="0" customWidth="1"/>
    <x:col min="16" max="16" width="26" hidden="0" customWidth="1"/>
    <x:col min="17" max="17" width="14" hidden="0" customWidth="1"/>
    <x:col min="18" max="18" width="14" hidden="0" customWidth="1"/>
  </x:cols>
  <x:sheetData>
    <x:row r="1" ht="34" customHeight="1">
      <x:c r="A1" s="37" t="str">
        <x:v>4.8 诊断测试自动化测试用例｜创建与互斥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</x:row>
    <x:row r="2" ht="26" customHeight="1">
      <x:c r="A2" s="7" t="str">
        <x:v>来源：文档/4-需求文档/4.8 诊断测试.md　｜　范围：参数化规则、状态机、并发、时序与故障注入　｜　创建与互斥：6 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 ht="36" customHeight="1">
      <x:c r="A3" s="42" t="str">
        <x:v>用例编号</x:v>
      </x:c>
      <x:c r="B3" s="42" t="str">
        <x:v>功能模块</x:v>
      </x:c>
      <x:c r="C3" s="42" t="str">
        <x:v>用例标题</x:v>
      </x:c>
      <x:c r="D3" s="42" t="str">
        <x:v>优先级</x:v>
      </x:c>
      <x:c r="E3" s="42" t="str">
        <x:v>自动化层级</x:v>
      </x:c>
      <x:c r="F3" s="42" t="str">
        <x:v>前置数据/Mock</x:v>
      </x:c>
      <x:c r="G3" s="42" t="str">
        <x:v>参数化测试数据</x:v>
      </x:c>
      <x:c r="H3" s="42" t="str">
        <x:v>自动化步骤</x:v>
      </x:c>
      <x:c r="I3" s="42" t="str">
        <x:v>断言</x:v>
      </x:c>
      <x:c r="J3" s="42" t="str">
        <x:v>建议脚本路径</x:v>
      </x:c>
      <x:c r="K3" s="42" t="str">
        <x:v>脚本状态</x:v>
      </x:c>
      <x:c r="L3" s="42" t="str">
        <x:v>执行状态</x:v>
      </x:c>
      <x:c r="M3" s="42" t="str">
        <x:v>是否通过</x:v>
      </x:c>
      <x:c r="N3" s="42" t="str">
        <x:v>缺陷等级</x:v>
      </x:c>
      <x:c r="O3" s="42" t="str">
        <x:v>实际结果</x:v>
      </x:c>
      <x:c r="P3" s="42" t="str">
        <x:v>备注</x:v>
      </x:c>
      <x:c r="Q3" s="42" t="str">
        <x:v>修复情况</x:v>
      </x:c>
      <x:c r="R3" s="42" t="str">
        <x:v>回归情况</x:v>
      </x:c>
    </x:row>
    <x:row r="4" ht="85" customHeight="1">
      <x:c r="A4" s="49" t="str">
        <x:v>AUT-DIAG-CREATE-001</x:v>
      </x:c>
      <x:c r="B4" s="49" t="str">
        <x:v>创建与互斥</x:v>
      </x:c>
      <x:c r="C4" s="49" t="str">
        <x:v>创建新测试前置条件矩阵</x:v>
      </x:c>
      <x:c r="D4" s="49" t="str">
        <x:v>P0</x:v>
      </x:c>
      <x:c r="E4" s="49" t="str">
        <x:v>API</x:v>
      </x:c>
      <x:c r="F4" s="47" t="str">
        <x:v>准备有效学生、考试、试卷和会员，逐项翻转单个条件</x:v>
      </x:c>
      <x:c r="G4" s="47" t="str">
        <x:v>未登录；考试关闭；试卷下线；结构无效；会员不足；存在同考试进行中；全部通过</x:v>
      </x:c>
      <x:c r="H4" s="47" t="str">
        <x:v>1. 记录目标学生测试数基线
2. 按参数设置唯一失败条件
3. 调用创建并读取统一响应
4. 查询进行中记录和冻结结构
5. 回滚测试数据</x:v>
      </x:c>
      <x:c r="I4" s="47" t="str">
        <x:v>任一前置失败都不创建并返回可读业务错误；全部通过时只创建一场并冻结考试、年份、分段、题目和时长。</x:v>
      </x:c>
      <x:c r="J4" s="47" t="str">
        <x:v>api/tests/diagnostic/create-preconditions.spec.ts</x:v>
      </x:c>
      <x:c r="K4" s="50" t="str">
        <x:v>待实现</x:v>
      </x:c>
      <x:c r="L4" s="50" t="str">
        <x:v>未执行</x:v>
      </x:c>
      <x:c r="M4" s="50"/>
      <x:c r="N4" s="50"/>
      <x:c r="O4" s="50"/>
      <x:c r="P4" s="50"/>
      <x:c r="Q4" s="50"/>
      <x:c r="R4" s="50"/>
    </x:row>
    <x:row r="5" ht="85" customHeight="1">
      <x:c r="A5" s="52" t="str">
        <x:v>AUT-DIAG-CREATE-002</x:v>
      </x:c>
      <x:c r="B5" s="52" t="str">
        <x:v>创建与互斥</x:v>
      </x:c>
      <x:c r="C5" s="52" t="str">
        <x:v>同考试并发创建保持单一进行中</x:v>
      </x:c>
      <x:c r="D5" s="52" t="str">
        <x:v>P0</x:v>
      </x:c>
      <x:c r="E5" s="52" t="str">
        <x:v>API</x:v>
      </x:c>
      <x:c r="F5" s="51" t="str">
        <x:v>学生同考试无进行中；准备多个可用年份或ESAT组合</x:v>
      </x:c>
      <x:c r="G5" s="51" t="str">
        <x:v>同卷2/5/10并发；不同年份并发；不同组合并发</x:v>
      </x:c>
      <x:c r="H5" s="51" t="str">
        <x:v>1. 读取进行中数量基线0
2. 并发发送参数化创建请求
3. 等待全部响应并查询进行中列表
4. 比较返回的测试标识
5. 清理唯一测试</x:v>
      </x:c>
      <x:c r="I5" s="51" t="str">
        <x:v>同一学生同一考试最多一场进行中；所有成功/恢复响应指向同一测试；数据库无重复记录。</x:v>
      </x:c>
      <x:c r="J5" s="51" t="str">
        <x:v>api/tests/diagnostic/create-concurrency.spec.ts</x:v>
      </x:c>
      <x:c r="K5" s="50" t="str">
        <x:v>待实现</x:v>
      </x:c>
      <x:c r="L5" s="50" t="str">
        <x:v>未执行</x:v>
      </x:c>
      <x:c r="M5" s="50"/>
      <x:c r="N5" s="50"/>
      <x:c r="O5" s="50"/>
      <x:c r="P5" s="50"/>
      <x:c r="Q5" s="50"/>
      <x:c r="R5" s="50"/>
    </x:row>
    <x:row r="6" ht="85" customHeight="1">
      <x:c r="A6" s="49" t="str">
        <x:v>AUT-DIAG-CREATE-003</x:v>
      </x:c>
      <x:c r="B6" s="49" t="str">
        <x:v>创建与互斥</x:v>
      </x:c>
      <x:c r="C6" s="49" t="str">
        <x:v>创建成功响应丢失后的幂等恢复</x:v>
      </x:c>
      <x:c r="D6" s="49" t="str">
        <x:v>P0</x:v>
      </x:c>
      <x:c r="E6" s="49" t="str">
        <x:v>API</x:v>
      </x:c>
      <x:c r="F6" s="47" t="str">
        <x:v>故障注入使首个创建成功但客户端超时</x:v>
      </x:c>
      <x:c r="G6" s="47" t="str">
        <x:v>立即重试；刷新后重试；不同入口重试；重复3次</x:v>
      </x:c>
      <x:c r="H6" s="47" t="str">
        <x:v>1. 记录测试数基线并执行首个创建
2. 丢弃成功响应后按参数重试
3. 查询进行中测试和冻结结构
4. 校验所有响应指向同一记录
5. 清理记录</x:v>
      </x:c>
      <x:c r="I6" s="47" t="str">
        <x:v>最终测试数仅+1；重试恢复原测试，不创建第二场；冻结结构与第一次创建一致。</x:v>
      </x:c>
      <x:c r="J6" s="47" t="str">
        <x:v>api/tests/diagnostic/create-response-loss.spec.ts</x:v>
      </x:c>
      <x:c r="K6" s="50" t="str">
        <x:v>待实现</x:v>
      </x:c>
      <x:c r="L6" s="50" t="str">
        <x:v>未执行</x:v>
      </x:c>
      <x:c r="M6" s="50"/>
      <x:c r="N6" s="50"/>
      <x:c r="O6" s="50"/>
      <x:c r="P6" s="50"/>
      <x:c r="Q6" s="50"/>
      <x:c r="R6" s="50"/>
    </x:row>
    <x:row r="7" ht="85" customHeight="1">
      <x:c r="A7" s="52" t="str">
        <x:v>AUT-DIAG-CREATE-004</x:v>
      </x:c>
      <x:c r="B7" s="52" t="str">
        <x:v>创建与互斥</x:v>
      </x:c>
      <x:c r="C7" s="52" t="str">
        <x:v>ESAT与TMUA进行中互斥范围隔离</x:v>
      </x:c>
      <x:c r="D7" s="52" t="str">
        <x:v>P0</x:v>
      </x:c>
      <x:c r="E7" s="52" t="str">
        <x:v>API</x:v>
      </x:c>
      <x:c r="F7" s="51" t="str">
        <x:v>学生可访问两类考试，并分别准备可用卷</x:v>
      </x:c>
      <x:c r="G7" s="51" t="str">
        <x:v>先ESAT后TMUA；先TMUA后ESAT；两类并发创建</x:v>
      </x:c>
      <x:c r="H7" s="51" t="str">
        <x:v>1. 读取两类进行中数量基线
2. 按参数创建第一类测试
3. 创建或并发创建另一类测试
4. 查询两类进行中记录
5. 清理记录</x:v>
      </x:c>
      <x:c r="I7" s="51" t="str">
        <x:v>每个考试类型各自最多一场进行中；一类测试不阻止另一类；记录的考试与结构不串用。</x:v>
      </x:c>
      <x:c r="J7" s="51" t="str">
        <x:v>api/tests/diagnostic/cross-exam-concurrency.spec.ts</x:v>
      </x:c>
      <x:c r="K7" s="50" t="str">
        <x:v>待实现</x:v>
      </x:c>
      <x:c r="L7" s="50" t="str">
        <x:v>未执行</x:v>
      </x:c>
      <x:c r="M7" s="50"/>
      <x:c r="N7" s="50"/>
      <x:c r="O7" s="50"/>
      <x:c r="P7" s="50"/>
      <x:c r="Q7" s="50"/>
      <x:c r="R7" s="50"/>
    </x:row>
    <x:row r="8" ht="85" customHeight="1">
      <x:c r="A8" s="49" t="str">
        <x:v>AUT-DIAG-CREATE-005</x:v>
      </x:c>
      <x:c r="B8" s="49" t="str">
        <x:v>创建与互斥</x:v>
      </x:c>
      <x:c r="C8" s="49" t="str">
        <x:v>重新测试生成空白新记录并保留历史</x:v>
      </x:c>
      <x:c r="D8" s="49" t="str">
        <x:v>P0</x:v>
      </x:c>
      <x:c r="E8" s="49" t="str">
        <x:v>API</x:v>
      </x:c>
      <x:c r="F8" s="47" t="str">
        <x:v>学生已有1至3次完成记录且资格有效</x:v>
      </x:c>
      <x:c r="G8" s="47" t="str">
        <x:v>ESAT组合；TMUA双卷；同卷多次重测</x:v>
      </x:c>
      <x:c r="H8" s="47" t="str">
        <x:v>1. 读取历史H、旧答案和报告标识
2. 创建重新测试并读取新记录
3. 完成新测试并正式交卷
4. 再读历史、答案和报告关联
5. 清理新记录</x:v>
      </x:c>
      <x:c r="I8" s="47" t="str">
        <x:v>新测试为空白且标识独立；交卷后H+1；旧答案、成绩和报告不变；历史按交卷时间倒序。</x:v>
      </x:c>
      <x:c r="J8" s="47" t="str">
        <x:v>api/tests/diagnostic/retest-lifecycle.spec.ts</x:v>
      </x:c>
      <x:c r="K8" s="50" t="str">
        <x:v>待实现</x:v>
      </x:c>
      <x:c r="L8" s="50" t="str">
        <x:v>未执行</x:v>
      </x:c>
      <x:c r="M8" s="50"/>
      <x:c r="N8" s="50"/>
      <x:c r="O8" s="50"/>
      <x:c r="P8" s="50"/>
      <x:c r="Q8" s="50"/>
      <x:c r="R8" s="50"/>
    </x:row>
    <x:row r="9" ht="85" customHeight="1">
      <x:c r="A9" s="52" t="str">
        <x:v>AUT-DIAG-CREATE-006</x:v>
      </x:c>
      <x:c r="B9" s="52" t="str">
        <x:v>创建与互斥</x:v>
      </x:c>
      <x:c r="C9" s="52" t="str">
        <x:v>开始后试卷快照不受后台内容变更影响</x:v>
      </x:c>
      <x:c r="D9" s="52" t="str">
        <x:v>P0</x:v>
      </x:c>
      <x:c r="E9" s="52" t="str">
        <x:v>API</x:v>
      </x:c>
      <x:c r="F9" s="51" t="str">
        <x:v>创建测试后尝试下线、改访问级别及直接修改源卷结构</x:v>
      </x:c>
      <x:c r="G9" s="51" t="str">
        <x:v>归档；会员到期；免费→会员；源题顺序变更故障注入；新版本上线</x:v>
      </x:c>
      <x:c r="H9" s="51" t="str">
        <x:v>1. 创建测试并保存快照基线
2. 按参数执行后台变更
3. 恢复、答题并完成原测试
4. 读取其分段、题目、时长和成绩来源
5. 清理数据</x:v>
      </x:c>
      <x:c r="I9" s="51" t="str">
        <x:v>原测试始终使用创建时快照并可完成；发布/会员变化只影响新建和重测；新版本不覆盖旧记录。</x:v>
      </x:c>
      <x:c r="J9" s="51" t="str">
        <x:v>api/tests/diagnostic/frozen-paper-snapshot.spec.ts</x:v>
      </x:c>
      <x:c r="K9" s="50" t="str">
        <x:v>待实现</x:v>
      </x:c>
      <x:c r="L9" s="50" t="str">
        <x:v>未执行</x:v>
      </x:c>
      <x:c r="M9" s="50"/>
      <x:c r="N9" s="50"/>
      <x:c r="O9" s="50"/>
      <x:c r="P9" s="50"/>
      <x:c r="Q9" s="50"/>
      <x:c r="R9" s="50"/>
    </x:row>
  </x:sheetData>
  <x:mergeCells>
    <x:mergeCell ref="A1:R1"/>
    <x:mergeCell ref="A2:R2"/>
  </x:mergeCells>
  <x:conditionalFormatting sqref="D4:D9">
    <x:cfRule type="containsText" dxfId="36" priority="1" operator="containsText" text="P0"/>
    <x:cfRule type="containsText" dxfId="37" priority="2" operator="containsText" text="P1"/>
  </x:conditionalFormatting>
  <x:conditionalFormatting sqref="L4:L9">
    <x:cfRule type="containsText" dxfId="38" priority="3" operator="containsText" text="通过"/>
    <x:cfRule type="containsText" dxfId="39" priority="4" operator="containsText" text="失败"/>
    <x:cfRule type="containsText" dxfId="40" priority="5" operator="containsText" text="阻塞"/>
    <x:cfRule type="containsText" dxfId="41" priority="6" operator="containsText" text="未执行"/>
  </x:conditionalFormatting>
  <x:conditionalFormatting sqref="M4:M9">
    <x:cfRule type="containsText" dxfId="42" priority="7" operator="containsText" text="是"/>
    <x:cfRule type="containsText" dxfId="43" priority="8" operator="containsText" text="否"/>
  </x:conditionalFormatting>
  <x:conditionalFormatting sqref="N4:N9">
    <x:cfRule type="containsText" dxfId="44" priority="9" operator="containsText" text="阻断"/>
    <x:cfRule type="containsText" dxfId="45" priority="10" operator="containsText" text="高"/>
    <x:cfRule type="containsText" dxfId="46" priority="11" operator="containsText" text="中"/>
  </x:conditionalFormatting>
  <x:conditionalFormatting sqref="Q4:Q9">
    <x:cfRule type="containsText" dxfId="47" priority="12" operator="containsText" text="已完成"/>
    <x:cfRule type="containsText" dxfId="48" priority="13" operator="containsText" text="待确认"/>
  </x:conditionalFormatting>
  <x:conditionalFormatting sqref="R4:R9">
    <x:cfRule type="containsText" dxfId="49" priority="14" operator="containsText" text="通过"/>
    <x:cfRule type="containsText" dxfId="50" priority="15" operator="containsText" text="不通过"/>
  </x:conditionalFormatting>
  <x:conditionalFormatting sqref="K4:K9">
    <x:cfRule type="containsText" dxfId="51" priority="16" operator="containsText" text="已实现"/>
    <x:cfRule type="containsText" dxfId="52" priority="17" operator="containsText" text="开发中"/>
    <x:cfRule type="containsText" dxfId="53" priority="18" operator="containsText" text="暂缓"/>
  </x:conditionalFormatting>
  <x:dataValidations count="8">
    <x:dataValidation type="list" sqref="D4:D9">
      <x:formula1>"P0,P1,P2,P3"</x:formula1>
    </x:dataValidation>
    <x:dataValidation type="list" sqref="E4:E9">
      <x:formula1>"API,UI,混合"</x:formula1>
    </x:dataValidation>
    <x:dataValidation type="list" sqref="K4:K9">
      <x:formula1>"待实现,开发中,已实现,暂缓"</x:formula1>
    </x:dataValidation>
    <x:dataValidation type="list" sqref="L4:L9">
      <x:formula1>"未执行,通过,失败,阻塞,不适用"</x:formula1>
    </x:dataValidation>
    <x:dataValidation type="list" sqref="M4:M9">
      <x:formula1>"是,否"</x:formula1>
    </x:dataValidation>
    <x:dataValidation type="list" sqref="N4:N9">
      <x:formula1>"阻断,高,中,低,轻微"</x:formula1>
    </x:dataValidation>
    <x:dataValidation type="list" sqref="Q4:Q9">
      <x:formula1>"已完成,待确认,暂不修复"</x:formula1>
    </x:dataValidation>
    <x:dataValidation type="list" sqref="R4:R9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924d5c9bf940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36" hidden="0" customWidth="1"/>
    <x:col min="4" max="4" width="10" hidden="0" customWidth="1"/>
    <x:col min="5" max="5" width="12" hidden="0" customWidth="1"/>
    <x:col min="6" max="6" width="38" hidden="0" customWidth="1"/>
    <x:col min="7" max="7" width="46" hidden="0" customWidth="1"/>
    <x:col min="8" max="8" width="50" hidden="0" customWidth="1"/>
    <x:col min="9" max="9" width="54" hidden="0" customWidth="1"/>
    <x:col min="10" max="10" width="4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30" hidden="0" customWidth="1"/>
    <x:col min="16" max="16" width="26" hidden="0" customWidth="1"/>
    <x:col min="17" max="17" width="14" hidden="0" customWidth="1"/>
    <x:col min="18" max="18" width="14" hidden="0" customWidth="1"/>
  </x:cols>
  <x:sheetData>
    <x:row r="1" ht="34" customHeight="1">
      <x:c r="A1" s="37" t="str">
        <x:v>4.8 诊断测试自动化测试用例｜暂停与时间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</x:row>
    <x:row r="2" ht="26" customHeight="1">
      <x:c r="A2" s="7" t="str">
        <x:v>来源：文档/4-需求文档/4.8 诊断测试.md　｜　范围：参数化规则、状态机、并发、时序与故障注入　｜　暂停与时间：5 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 ht="36" customHeight="1">
      <x:c r="A3" s="42" t="str">
        <x:v>用例编号</x:v>
      </x:c>
      <x:c r="B3" s="42" t="str">
        <x:v>功能模块</x:v>
      </x:c>
      <x:c r="C3" s="42" t="str">
        <x:v>用例标题</x:v>
      </x:c>
      <x:c r="D3" s="42" t="str">
        <x:v>优先级</x:v>
      </x:c>
      <x:c r="E3" s="42" t="str">
        <x:v>自动化层级</x:v>
      </x:c>
      <x:c r="F3" s="42" t="str">
        <x:v>前置数据/Mock</x:v>
      </x:c>
      <x:c r="G3" s="42" t="str">
        <x:v>参数化测试数据</x:v>
      </x:c>
      <x:c r="H3" s="42" t="str">
        <x:v>自动化步骤</x:v>
      </x:c>
      <x:c r="I3" s="42" t="str">
        <x:v>断言</x:v>
      </x:c>
      <x:c r="J3" s="42" t="str">
        <x:v>建议脚本路径</x:v>
      </x:c>
      <x:c r="K3" s="42" t="str">
        <x:v>脚本状态</x:v>
      </x:c>
      <x:c r="L3" s="42" t="str">
        <x:v>执行状态</x:v>
      </x:c>
      <x:c r="M3" s="42" t="str">
        <x:v>是否通过</x:v>
      </x:c>
      <x:c r="N3" s="42" t="str">
        <x:v>缺陷等级</x:v>
      </x:c>
      <x:c r="O3" s="42" t="str">
        <x:v>实际结果</x:v>
      </x:c>
      <x:c r="P3" s="42" t="str">
        <x:v>备注</x:v>
      </x:c>
      <x:c r="Q3" s="42" t="str">
        <x:v>修复情况</x:v>
      </x:c>
      <x:c r="R3" s="42" t="str">
        <x:v>回归情况</x:v>
      </x:c>
    </x:row>
    <x:row r="4" ht="85" customHeight="1">
      <x:c r="A4" s="49" t="str">
        <x:v>AUT-DIAG-TIME-001</x:v>
      </x:c>
      <x:c r="B4" s="49" t="str">
        <x:v>暂停与时间</x:v>
      </x:c>
      <x:c r="C4" s="49" t="str">
        <x:v>答题与休息阶段暂停恢复状态矩阵</x:v>
      </x:c>
      <x:c r="D4" s="49" t="str">
        <x:v>P0</x:v>
      </x:c>
      <x:c r="E4" s="49" t="str">
        <x:v>API</x:v>
      </x:c>
      <x:c r="F4" s="47" t="str">
        <x:v>用假时钟创建ESAT/TMUA不同阶段测试</x:v>
      </x:c>
      <x:c r="G4" s="47" t="str">
        <x:v>ESAT答题；ESAT休息；TMUA P1；TMUA P2；重复暂停；重复恢复</x:v>
      </x:c>
      <x:c r="H4" s="47" t="str">
        <x:v>1. 记录阶段、答案和剩余时间基线
2. 执行暂停并推进假时钟
3. 执行恢复并读取真实状态
4. 重复暂停/恢复后再次读取
5. 清理测试</x:v>
      </x:c>
      <x:c r="I4" s="47" t="str">
        <x:v>成功暂停冻结当前阶段和剩余时间；恢复同一阶段和答案；重复操作不延长时间、不新增阶段。</x:v>
      </x:c>
      <x:c r="J4" s="47" t="str">
        <x:v>api/tests/diagnostic/pause-resume-matrix.spec.ts</x:v>
      </x:c>
      <x:c r="K4" s="50" t="str">
        <x:v>待实现</x:v>
      </x:c>
      <x:c r="L4" s="50" t="str">
        <x:v>未执行</x:v>
      </x:c>
      <x:c r="M4" s="50"/>
      <x:c r="N4" s="50"/>
      <x:c r="O4" s="50"/>
      <x:c r="P4" s="50"/>
      <x:c r="Q4" s="50"/>
      <x:c r="R4" s="50"/>
    </x:row>
    <x:row r="5" ht="85" customHeight="1">
      <x:c r="A5" s="52" t="str">
        <x:v>AUT-DIAG-TIME-002</x:v>
      </x:c>
      <x:c r="B5" s="52" t="str">
        <x:v>暂停与时间</x:v>
      </x:c>
      <x:c r="C5" s="52" t="str">
        <x:v>暂停请求失败时按原截止时间结算</x:v>
      </x:c>
      <x:c r="D5" s="52" t="str">
        <x:v>P0</x:v>
      </x:c>
      <x:c r="E5" s="52" t="str">
        <x:v>API</x:v>
      </x:c>
      <x:c r="F5" s="51" t="str">
        <x:v>故障注入使暂停未提交，使用假时钟跨过或未跨过截止时间</x:v>
      </x:c>
      <x:c r="G5" s="51" t="str">
        <x:v>离开&lt;T；离开=T；离开&gt;T；答案保存成功/失败</x:v>
      </x:c>
      <x:c r="H5" s="51" t="str">
        <x:v>1. 记录截止时间、答案和阶段基线
2. 注入暂停失败并推进假时钟
3. 恢复测试并读取服务端状态
4. 核对锁定、下一阶段和答案
5. 清理测试</x:v>
      </x:c>
      <x:c r="I5" s="51" t="str">
        <x:v>未成功暂停不冻结时间；未到时恢复原段，到时或超时先锁定再推进；只保留服务端已确认答案。</x:v>
      </x:c>
      <x:c r="J5" s="51" t="str">
        <x:v>api/tests/diagnostic/pause-failure-deadline.spec.ts</x:v>
      </x:c>
      <x:c r="K5" s="50" t="str">
        <x:v>待实现</x:v>
      </x:c>
      <x:c r="L5" s="50" t="str">
        <x:v>未执行</x:v>
      </x:c>
      <x:c r="M5" s="50"/>
      <x:c r="N5" s="50"/>
      <x:c r="O5" s="50"/>
      <x:c r="P5" s="50"/>
      <x:c r="Q5" s="50"/>
      <x:c r="R5" s="50"/>
    </x:row>
    <x:row r="6" ht="85" customHeight="1">
      <x:c r="A6" s="49" t="str">
        <x:v>AUT-DIAG-TIME-003</x:v>
      </x:c>
      <x:c r="B6" s="49" t="str">
        <x:v>暂停与时间</x:v>
      </x:c>
      <x:c r="C6" s="49" t="str">
        <x:v>客户端时钟修改与刷新不能延长考试</x:v>
      </x:c>
      <x:c r="D6" s="49" t="str">
        <x:v>P0</x:v>
      </x:c>
      <x:c r="E6" s="49" t="str">
        <x:v>混合</x:v>
      </x:c>
      <x:c r="F6" s="47" t="str">
        <x:v>假时钟固定服务端时间并允许修改浏览器时间</x:v>
      </x:c>
      <x:c r="G6" s="47" t="str">
        <x:v>客户端-24h/+24h；反复刷新；离线后返回；暂停接口重放</x:v>
      </x:c>
      <x:c r="H6" s="47" t="str">
        <x:v>1. 读取服务端截止时间和页面剩余时间
2. 按参数修改客户端环境或刷新
3. 推进服务端假时钟并恢复页面
4. 比较剩余时间与阶段
5. 还原环境</x:v>
      </x:c>
      <x:c r="I6" s="47" t="str">
        <x:v>剩余时间始终由服务端状态决定；客户端修改、刷新或重放不能增加秒数；到时后分段锁定。</x:v>
      </x:c>
      <x:c r="J6" s="47" t="str">
        <x:v>quiz-web/e2e/diagnostic/server-time-authority.spec.ts</x:v>
      </x:c>
      <x:c r="K6" s="50" t="str">
        <x:v>待实现</x:v>
      </x:c>
      <x:c r="L6" s="50" t="str">
        <x:v>未执行</x:v>
      </x:c>
      <x:c r="M6" s="50"/>
      <x:c r="N6" s="50"/>
      <x:c r="O6" s="50"/>
      <x:c r="P6" s="50"/>
      <x:c r="Q6" s="50"/>
      <x:c r="R6" s="50"/>
    </x:row>
    <x:row r="7" ht="85" customHeight="1">
      <x:c r="A7" s="52" t="str">
        <x:v>AUT-DIAG-TIME-004</x:v>
      </x:c>
      <x:c r="B7" s="52" t="str">
        <x:v>暂停与时间</x:v>
      </x:c>
      <x:c r="C7" s="52" t="str">
        <x:v>恢复失败保持不可作答并安全重试</x:v>
      </x:c>
      <x:c r="D7" s="52" t="str">
        <x:v>P0</x:v>
      </x:c>
      <x:c r="E7" s="52" t="str">
        <x:v>混合</x:v>
      </x:c>
      <x:c r="F7" s="51" t="str">
        <x:v>已有进行中测试；Mock恢复失败、超时和随后成功</x:v>
      </x:c>
      <x:c r="G7" s="51" t="str">
        <x:v>500；超时；无效状态；第二次成功</x:v>
      </x:c>
      <x:c r="H7" s="51" t="str">
        <x:v>1. 记录答案和阶段基线
2. 点击继续并注入参数化失败
3. 检查页面可操作控件和错误提示
4. 恢复服务后重试并读取状态
5. 清理Mock</x:v>
      </x:c>
      <x:c r="I7" s="51" t="str">
        <x:v>失败时不渲染可编辑题目、不重置状态且有重试/返回；成功重试恢复原测试。</x:v>
      </x:c>
      <x:c r="J7" s="51" t="str">
        <x:v>quiz-web/e2e/diagnostic/resume-failure.spec.ts</x:v>
      </x:c>
      <x:c r="K7" s="50" t="str">
        <x:v>待实现</x:v>
      </x:c>
      <x:c r="L7" s="50" t="str">
        <x:v>未执行</x:v>
      </x:c>
      <x:c r="M7" s="50"/>
      <x:c r="N7" s="50"/>
      <x:c r="O7" s="50"/>
      <x:c r="P7" s="50"/>
      <x:c r="Q7" s="50"/>
      <x:c r="R7" s="50"/>
    </x:row>
    <x:row r="8" ht="85" customHeight="1">
      <x:c r="A8" s="49" t="str">
        <x:v>AUT-DIAG-TIME-005</x:v>
      </x:c>
      <x:c r="B8" s="49" t="str">
        <x:v>暂停与时间</x:v>
      </x:c>
      <x:c r="C8" s="49" t="str">
        <x:v>已锁定与未来分段访问权限矩阵</x:v>
      </x:c>
      <x:c r="D8" s="49" t="str">
        <x:v>P0</x:v>
      </x:c>
      <x:c r="E8" s="49" t="str">
        <x:v>API</x:v>
      </x:c>
      <x:c r="F8" s="47" t="str">
        <x:v>准备当前、已结束和未来分段并保存答案</x:v>
      </x:c>
      <x:c r="G8" s="47" t="str">
        <x:v>读取旧段；修改旧答案；补答旧未答；读取未来段；提交未来答案；当前段正常保存</x:v>
      </x:c>
      <x:c r="H8" s="47" t="str">
        <x:v>1. 记录各分段状态和答案基线
2. 按参数请求读取或保存
3. 再读分段、答案和进度
4. 对当前段执行正常保存作为对照
5. 清理测试</x:v>
      </x:c>
      <x:c r="I8" s="47" t="str">
        <x:v>只有当前分段可操作；旧段和未来段请求被拒绝且答案不变；刷新、回退、多窗口不能绕过。</x:v>
      </x:c>
      <x:c r="J8" s="47" t="str">
        <x:v>api/tests/diagnostic/segment-access-control.spec.ts</x:v>
      </x:c>
      <x:c r="K8" s="50" t="str">
        <x:v>待实现</x:v>
      </x:c>
      <x:c r="L8" s="50" t="str">
        <x:v>未执行</x:v>
      </x:c>
      <x:c r="M8" s="50"/>
      <x:c r="N8" s="50"/>
      <x:c r="O8" s="50"/>
      <x:c r="P8" s="50"/>
      <x:c r="Q8" s="50"/>
      <x:c r="R8" s="50"/>
    </x:row>
  </x:sheetData>
  <x:mergeCells>
    <x:mergeCell ref="A1:R1"/>
    <x:mergeCell ref="A2:R2"/>
  </x:mergeCells>
  <x:conditionalFormatting sqref="D4:D8">
    <x:cfRule type="containsText" dxfId="54" priority="1" operator="containsText" text="P0"/>
    <x:cfRule type="containsText" dxfId="55" priority="2" operator="containsText" text="P1"/>
  </x:conditionalFormatting>
  <x:conditionalFormatting sqref="L4:L8">
    <x:cfRule type="containsText" dxfId="56" priority="3" operator="containsText" text="通过"/>
    <x:cfRule type="containsText" dxfId="57" priority="4" operator="containsText" text="失败"/>
    <x:cfRule type="containsText" dxfId="58" priority="5" operator="containsText" text="阻塞"/>
    <x:cfRule type="containsText" dxfId="59" priority="6" operator="containsText" text="未执行"/>
  </x:conditionalFormatting>
  <x:conditionalFormatting sqref="M4:M8">
    <x:cfRule type="containsText" dxfId="60" priority="7" operator="containsText" text="是"/>
    <x:cfRule type="containsText" dxfId="61" priority="8" operator="containsText" text="否"/>
  </x:conditionalFormatting>
  <x:conditionalFormatting sqref="N4:N8">
    <x:cfRule type="containsText" dxfId="62" priority="9" operator="containsText" text="阻断"/>
    <x:cfRule type="containsText" dxfId="63" priority="10" operator="containsText" text="高"/>
    <x:cfRule type="containsText" dxfId="64" priority="11" operator="containsText" text="中"/>
  </x:conditionalFormatting>
  <x:conditionalFormatting sqref="Q4:Q8">
    <x:cfRule type="containsText" dxfId="65" priority="12" operator="containsText" text="已完成"/>
    <x:cfRule type="containsText" dxfId="66" priority="13" operator="containsText" text="待确认"/>
  </x:conditionalFormatting>
  <x:conditionalFormatting sqref="R4:R8">
    <x:cfRule type="containsText" dxfId="67" priority="14" operator="containsText" text="通过"/>
    <x:cfRule type="containsText" dxfId="68" priority="15" operator="containsText" text="不通过"/>
  </x:conditionalFormatting>
  <x:conditionalFormatting sqref="K4:K8">
    <x:cfRule type="containsText" dxfId="69" priority="16" operator="containsText" text="已实现"/>
    <x:cfRule type="containsText" dxfId="70" priority="17" operator="containsText" text="开发中"/>
    <x:cfRule type="containsText" dxfId="71" priority="18" operator="containsText" text="暂缓"/>
  </x:conditionalFormatting>
  <x:dataValidations count="8">
    <x:dataValidation type="list" sqref="D4:D8">
      <x:formula1>"P0,P1,P2,P3"</x:formula1>
    </x:dataValidation>
    <x:dataValidation type="list" sqref="E4:E8">
      <x:formula1>"API,UI,混合"</x:formula1>
    </x:dataValidation>
    <x:dataValidation type="list" sqref="K4:K8">
      <x:formula1>"待实现,开发中,已实现,暂缓"</x:formula1>
    </x:dataValidation>
    <x:dataValidation type="list" sqref="L4:L8">
      <x:formula1>"未执行,通过,失败,阻塞,不适用"</x:formula1>
    </x:dataValidation>
    <x:dataValidation type="list" sqref="M4:M8">
      <x:formula1>"是,否"</x:formula1>
    </x:dataValidation>
    <x:dataValidation type="list" sqref="N4:N8">
      <x:formula1>"阻断,高,中,低,轻微"</x:formula1>
    </x:dataValidation>
    <x:dataValidation type="list" sqref="Q4:Q8">
      <x:formula1>"已完成,待确认,暂不修复"</x:formula1>
    </x:dataValidation>
    <x:dataValidation type="list" sqref="R4:R8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34fab4b2b747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36" hidden="0" customWidth="1"/>
    <x:col min="4" max="4" width="10" hidden="0" customWidth="1"/>
    <x:col min="5" max="5" width="12" hidden="0" customWidth="1"/>
    <x:col min="6" max="6" width="38" hidden="0" customWidth="1"/>
    <x:col min="7" max="7" width="46" hidden="0" customWidth="1"/>
    <x:col min="8" max="8" width="50" hidden="0" customWidth="1"/>
    <x:col min="9" max="9" width="54" hidden="0" customWidth="1"/>
    <x:col min="10" max="10" width="4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30" hidden="0" customWidth="1"/>
    <x:col min="16" max="16" width="26" hidden="0" customWidth="1"/>
    <x:col min="17" max="17" width="14" hidden="0" customWidth="1"/>
    <x:col min="18" max="18" width="14" hidden="0" customWidth="1"/>
  </x:cols>
  <x:sheetData>
    <x:row r="1" ht="34" customHeight="1">
      <x:c r="A1" s="37" t="str">
        <x:v>4.8 诊断测试自动化测试用例｜分段状态机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</x:row>
    <x:row r="2" ht="26" customHeight="1">
      <x:c r="A2" s="7" t="str">
        <x:v>来源：文档/4-需求文档/4.8 诊断测试.md　｜　范围：参数化规则、状态机、并发、时序与故障注入　｜　分段状态机：7 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 ht="36" customHeight="1">
      <x:c r="A3" s="42" t="str">
        <x:v>用例编号</x:v>
      </x:c>
      <x:c r="B3" s="42" t="str">
        <x:v>功能模块</x:v>
      </x:c>
      <x:c r="C3" s="42" t="str">
        <x:v>用例标题</x:v>
      </x:c>
      <x:c r="D3" s="42" t="str">
        <x:v>优先级</x:v>
      </x:c>
      <x:c r="E3" s="42" t="str">
        <x:v>自动化层级</x:v>
      </x:c>
      <x:c r="F3" s="42" t="str">
        <x:v>前置数据/Mock</x:v>
      </x:c>
      <x:c r="G3" s="42" t="str">
        <x:v>参数化测试数据</x:v>
      </x:c>
      <x:c r="H3" s="42" t="str">
        <x:v>自动化步骤</x:v>
      </x:c>
      <x:c r="I3" s="42" t="str">
        <x:v>断言</x:v>
      </x:c>
      <x:c r="J3" s="42" t="str">
        <x:v>建议脚本路径</x:v>
      </x:c>
      <x:c r="K3" s="42" t="str">
        <x:v>脚本状态</x:v>
      </x:c>
      <x:c r="L3" s="42" t="str">
        <x:v>执行状态</x:v>
      </x:c>
      <x:c r="M3" s="42" t="str">
        <x:v>是否通过</x:v>
      </x:c>
      <x:c r="N3" s="42" t="str">
        <x:v>缺陷等级</x:v>
      </x:c>
      <x:c r="O3" s="42" t="str">
        <x:v>实际结果</x:v>
      </x:c>
      <x:c r="P3" s="42" t="str">
        <x:v>备注</x:v>
      </x:c>
      <x:c r="Q3" s="42" t="str">
        <x:v>修复情况</x:v>
      </x:c>
      <x:c r="R3" s="42" t="str">
        <x:v>回归情况</x:v>
      </x:c>
    </x:row>
    <x:row r="4" ht="85" customHeight="1">
      <x:c r="A4" s="49" t="str">
        <x:v>AUT-DIAG-SEG-001</x:v>
      </x:c>
      <x:c r="B4" s="49" t="str">
        <x:v>分段状态机</x:v>
      </x:c>
      <x:c r="C4" s="49" t="str">
        <x:v>ESAT试卷结构上线校验矩阵</x:v>
      </x:c>
      <x:c r="D4" s="49" t="str">
        <x:v>P0</x:v>
      </x:c>
      <x:c r="E4" s="49" t="str">
        <x:v>API</x:v>
      </x:c>
      <x:c r="F4" s="47" t="str">
        <x:v>构造ESAT科目、分段、题目归属和休息配置</x:v>
      </x:c>
      <x:c r="G4" s="47" t="str">
        <x:v>合法3科含M1；无M1；2/4科；重复科；题目无归属/多归属；休息非180秒</x:v>
      </x:c>
      <x:c r="H4" s="47" t="str">
        <x:v>1. 逐组建立草稿卷
2. 请求上线并读取校验结果
3. 对异常上线数据尝试创建诊断
4. 读取是否产生测试
5. 删除测试数据</x:v>
      </x:c>
      <x:c r="I4" s="47" t="str">
        <x:v>只有恰好3个不重复科目且含M1、题目唯一归属、休息180秒的结构可上线和创建。</x:v>
      </x:c>
      <x:c r="J4" s="47" t="str">
        <x:v>api/tests/diagnostic/esat-structure-validation.spec.ts</x:v>
      </x:c>
      <x:c r="K4" s="50" t="str">
        <x:v>待实现</x:v>
      </x:c>
      <x:c r="L4" s="50" t="str">
        <x:v>未执行</x:v>
      </x:c>
      <x:c r="M4" s="50"/>
      <x:c r="N4" s="50"/>
      <x:c r="O4" s="50"/>
      <x:c r="P4" s="50"/>
      <x:c r="Q4" s="50"/>
      <x:c r="R4" s="50"/>
    </x:row>
    <x:row r="5" ht="85" customHeight="1">
      <x:c r="A5" s="52" t="str">
        <x:v>AUT-DIAG-SEG-002</x:v>
      </x:c>
      <x:c r="B5" s="52" t="str">
        <x:v>分段状态机</x:v>
      </x:c>
      <x:c r="C5" s="52" t="str">
        <x:v>ESAT科目结束与休息推进状态矩阵</x:v>
      </x:c>
      <x:c r="D5" s="52" t="str">
        <x:v>P0</x:v>
      </x:c>
      <x:c r="E5" s="52" t="str">
        <x:v>API</x:v>
      </x:c>
      <x:c r="F5" s="51" t="str">
        <x:v>用假时钟准备三科不同当前位置</x:v>
      </x:c>
      <x:c r="G5" s="51" t="str">
        <x:v>第一科主动结束/到时；第二科主动结束/到时；第三科主动结束/到时</x:v>
      </x:c>
      <x:c r="H5" s="51" t="str">
        <x:v>1. 记录当前科和答案基线
2. 执行主动结束或推进到时
3. 读取锁定状态和下一阶段
4. 尝试修改旧科答案
5. 清理记录</x:v>
      </x:c>
      <x:c r="I5" s="51" t="str">
        <x:v>前两科锁定后进入180秒休息；第三科锁定后进入最终交卷；旧科答案不可修改。</x:v>
      </x:c>
      <x:c r="J5" s="51" t="str">
        <x:v>api/tests/diagnostic/esat-stage-transition.spec.ts</x:v>
      </x:c>
      <x:c r="K5" s="50" t="str">
        <x:v>待实现</x:v>
      </x:c>
      <x:c r="L5" s="50" t="str">
        <x:v>未执行</x:v>
      </x:c>
      <x:c r="M5" s="50"/>
      <x:c r="N5" s="50"/>
      <x:c r="O5" s="50"/>
      <x:c r="P5" s="50"/>
      <x:c r="Q5" s="50"/>
      <x:c r="R5" s="50"/>
    </x:row>
    <x:row r="6" ht="85" customHeight="1">
      <x:c r="A6" s="49" t="str">
        <x:v>AUT-DIAG-SEG-003</x:v>
      </x:c>
      <x:c r="B6" s="49" t="str">
        <x:v>分段状态机</x:v>
      </x:c>
      <x:c r="C6" s="49" t="str">
        <x:v>ESAT跳过与自然结束休息的幂等性</x:v>
      </x:c>
      <x:c r="D6" s="49" t="str">
        <x:v>P0</x:v>
      </x:c>
      <x:c r="E6" s="49" t="str">
        <x:v>API</x:v>
      </x:c>
      <x:c r="F6" s="47" t="str">
        <x:v>处于第一或第二次休息，支持假时钟和并发请求</x:v>
      </x:c>
      <x:c r="G6" s="47" t="str">
        <x:v>重复跳过；跳过与自然到时并发；响应丢失重试；已结束后重放</x:v>
      </x:c>
      <x:c r="H6" s="47" t="str">
        <x:v>1. 记录休息和下一科基线
2. 按参数发送结束休息请求并推进时间
3. 查询当前阶段和阶段记录数
4. 重放相同操作后再查询
5. 清理记录</x:v>
      </x:c>
      <x:c r="I6" s="47" t="str">
        <x:v>休息只结束一次并进入唯一下一科；不得跳科、重复创建阶段或把已结束休息重新打开。</x:v>
      </x:c>
      <x:c r="J6" s="47" t="str">
        <x:v>api/tests/diagnostic/esat-break-idempotency.spec.ts</x:v>
      </x:c>
      <x:c r="K6" s="50" t="str">
        <x:v>待实现</x:v>
      </x:c>
      <x:c r="L6" s="50" t="str">
        <x:v>未执行</x:v>
      </x:c>
      <x:c r="M6" s="50"/>
      <x:c r="N6" s="50"/>
      <x:c r="O6" s="50"/>
      <x:c r="P6" s="50"/>
      <x:c r="Q6" s="50"/>
      <x:c r="R6" s="50"/>
    </x:row>
    <x:row r="7" ht="85" customHeight="1">
      <x:c r="A7" s="52" t="str">
        <x:v>AUT-DIAG-SEG-004</x:v>
      </x:c>
      <x:c r="B7" s="52" t="str">
        <x:v>分段状态机</x:v>
      </x:c>
      <x:c r="C7" s="52" t="str">
        <x:v>TMUA Paper顺序、题量和独立计时状态机</x:v>
      </x:c>
      <x:c r="D7" s="52" t="str">
        <x:v>P0</x:v>
      </x:c>
      <x:c r="E7" s="52" t="str">
        <x:v>API</x:v>
      </x:c>
      <x:c r="F7" s="51" t="str">
        <x:v>合法TMUA测试并使用假时钟</x:v>
      </x:c>
      <x:c r="G7" s="51" t="str">
        <x:v>P1主动结束/到时；P2主动结束/到时；P1后请求休息；P1后直接交卷</x:v>
      </x:c>
      <x:c r="H7" s="51" t="str">
        <x:v>1. 记录P1题量、截止时间和答案
2. 按参数结束P1并读取P2
3. 记录P2新截止时间并结束P2
4. 读取最终阶段和锁定答案
5. 清理测试</x:v>
      </x:c>
      <x:c r="I7" s="51" t="str">
        <x:v>P1、P2各20题和独立75分钟；P1后无休息且只能进P2；P2后才进入最终交卷。</x:v>
      </x:c>
      <x:c r="J7" s="51" t="str">
        <x:v>api/tests/diagnostic/tmua-state-machine.spec.ts</x:v>
      </x:c>
      <x:c r="K7" s="50" t="str">
        <x:v>待实现</x:v>
      </x:c>
      <x:c r="L7" s="50" t="str">
        <x:v>未执行</x:v>
      </x:c>
      <x:c r="M7" s="50"/>
      <x:c r="N7" s="50"/>
      <x:c r="O7" s="50"/>
      <x:c r="P7" s="50"/>
      <x:c r="Q7" s="50"/>
      <x:c r="R7" s="50"/>
    </x:row>
    <x:row r="8" ht="85" customHeight="1">
      <x:c r="A8" s="49" t="str">
        <x:v>AUT-DIAG-SEG-005</x:v>
      </x:c>
      <x:c r="B8" s="49" t="str">
        <x:v>分段状态机</x:v>
      </x:c>
      <x:c r="C8" s="49" t="str">
        <x:v>Paper 1切换故障按真实锁定状态恢复</x:v>
      </x:c>
      <x:c r="D8" s="49" t="str">
        <x:v>P0</x:v>
      </x:c>
      <x:c r="E8" s="49" t="str">
        <x:v>API</x:v>
      </x:c>
      <x:c r="F8" s="47" t="str">
        <x:v>故障注入Paper 1结束事务的不同提交点</x:v>
      </x:c>
      <x:c r="G8" s="47" t="str">
        <x:v>锁定前失败；锁定后响应丢失；P2创建后响应丢失；重复结束</x:v>
      </x:c>
      <x:c r="H8" s="47" t="str">
        <x:v>1. 记录P1和P2阶段基线
2. 注入参数化故障并执行结束P1
3. 调用恢复并读取阶段
4. 再次结束或继续并检查记录数
5. 清理测试</x:v>
      </x:c>
      <x:c r="I8" s="47" t="str">
        <x:v>P1未锁定则恢复P1；已锁定则进入唯一P2；不跳过P2、不新建测试、不重复阶段。</x:v>
      </x:c>
      <x:c r="J8" s="47" t="str">
        <x:v>api/tests/diagnostic/tmua-transition-recovery.spec.ts</x:v>
      </x:c>
      <x:c r="K8" s="50" t="str">
        <x:v>待实现</x:v>
      </x:c>
      <x:c r="L8" s="50" t="str">
        <x:v>未执行</x:v>
      </x:c>
      <x:c r="M8" s="50"/>
      <x:c r="N8" s="50"/>
      <x:c r="O8" s="50"/>
      <x:c r="P8" s="50"/>
      <x:c r="Q8" s="50"/>
      <x:c r="R8" s="50"/>
    </x:row>
    <x:row r="9" ht="85" customHeight="1">
      <x:c r="A9" s="52" t="str">
        <x:v>AUT-DIAG-SEG-006</x:v>
      </x:c>
      <x:c r="B9" s="52" t="str">
        <x:v>分段状态机</x:v>
      </x:c>
      <x:c r="C9" s="52" t="str">
        <x:v>分段结束请求的并发与重试幂等性</x:v>
      </x:c>
      <x:c r="D9" s="52" t="str">
        <x:v>P0</x:v>
      </x:c>
      <x:c r="E9" s="52" t="str">
        <x:v>API</x:v>
      </x:c>
      <x:c r="F9" s="51" t="str">
        <x:v>准备ESAT普通科、休息前科目、TMUA P1和最后分段</x:v>
      </x:c>
      <x:c r="G9" s="51" t="str">
        <x:v>2/5并发；响应丢失重试；主动结束与到时并发；旧请求重放</x:v>
      </x:c>
      <x:c r="H9" s="51" t="str">
        <x:v>1. 记录分段和答案基线
2. 按参数并发结束当前分段
3. 查询锁定记录和下一阶段数量
4. 重放后再次查询
5. 清理测试</x:v>
      </x:c>
      <x:c r="I9" s="51" t="str">
        <x:v>当前段只锁定一次，答案快照唯一；下一阶段或最终交卷节点只产生一次。</x:v>
      </x:c>
      <x:c r="J9" s="51" t="str">
        <x:v>api/tests/diagnostic/finish-segment-idempotency.spec.ts</x:v>
      </x:c>
      <x:c r="K9" s="50" t="str">
        <x:v>待实现</x:v>
      </x:c>
      <x:c r="L9" s="50" t="str">
        <x:v>未执行</x:v>
      </x:c>
      <x:c r="M9" s="50"/>
      <x:c r="N9" s="50"/>
      <x:c r="O9" s="50"/>
      <x:c r="P9" s="50"/>
      <x:c r="Q9" s="50"/>
      <x:c r="R9" s="50"/>
    </x:row>
    <x:row r="10" ht="85" customHeight="1">
      <x:c r="A10" s="49" t="str">
        <x:v>AUT-DIAG-SEG-007</x:v>
      </x:c>
      <x:c r="B10" s="49" t="str">
        <x:v>分段状态机</x:v>
      </x:c>
      <x:c r="C10" s="49" t="str">
        <x:v>最终交卷不接受客户端重写已锁定答案</x:v>
      </x:c>
      <x:c r="D10" s="49" t="str">
        <x:v>P0</x:v>
      </x:c>
      <x:c r="E10" s="49" t="str">
        <x:v>API</x:v>
      </x:c>
      <x:c r="F10" s="47" t="str">
        <x:v>全部分段已锁定，准备与锁定答案不同的客户端载荷</x:v>
      </x:c>
      <x:c r="G10" s="47" t="str">
        <x:v>修改已答；补答未答；删除答案；跨题注入；合法空载荷</x:v>
      </x:c>
      <x:c r="H10" s="47" t="str">
        <x:v>1. 读取服务端锁定答案和预期成绩基线
2. 携带参数化篡改载荷执行最终交卷
3. 读取完成记录、答案和成绩
4. 重试交卷并再次读取
5. 清理记录</x:v>
      </x:c>
      <x:c r="I10" s="47" t="str">
        <x:v>成绩只使用服务端已锁定答案；篡改载荷无效且不改变答案；重复交卷结果一致。</x:v>
      </x:c>
      <x:c r="J10" s="47" t="str">
        <x:v>api/tests/diagnostic/final-submit-answer-integrity.spec.ts</x:v>
      </x:c>
      <x:c r="K10" s="50" t="str">
        <x:v>待实现</x:v>
      </x:c>
      <x:c r="L10" s="50" t="str">
        <x:v>未执行</x:v>
      </x:c>
      <x:c r="M10" s="50"/>
      <x:c r="N10" s="50"/>
      <x:c r="O10" s="50"/>
      <x:c r="P10" s="50"/>
      <x:c r="Q10" s="50"/>
      <x:c r="R10" s="50"/>
    </x:row>
  </x:sheetData>
  <x:mergeCells>
    <x:mergeCell ref="A1:R1"/>
    <x:mergeCell ref="A2:R2"/>
  </x:mergeCells>
  <x:conditionalFormatting sqref="D4:D10">
    <x:cfRule type="containsText" dxfId="72" priority="1" operator="containsText" text="P0"/>
    <x:cfRule type="containsText" dxfId="73" priority="2" operator="containsText" text="P1"/>
  </x:conditionalFormatting>
  <x:conditionalFormatting sqref="L4:L10">
    <x:cfRule type="containsText" dxfId="74" priority="3" operator="containsText" text="通过"/>
    <x:cfRule type="containsText" dxfId="75" priority="4" operator="containsText" text="失败"/>
    <x:cfRule type="containsText" dxfId="76" priority="5" operator="containsText" text="阻塞"/>
    <x:cfRule type="containsText" dxfId="77" priority="6" operator="containsText" text="未执行"/>
  </x:conditionalFormatting>
  <x:conditionalFormatting sqref="M4:M10">
    <x:cfRule type="containsText" dxfId="78" priority="7" operator="containsText" text="是"/>
    <x:cfRule type="containsText" dxfId="79" priority="8" operator="containsText" text="否"/>
  </x:conditionalFormatting>
  <x:conditionalFormatting sqref="N4:N10">
    <x:cfRule type="containsText" dxfId="80" priority="9" operator="containsText" text="阻断"/>
    <x:cfRule type="containsText" dxfId="81" priority="10" operator="containsText" text="高"/>
    <x:cfRule type="containsText" dxfId="82" priority="11" operator="containsText" text="中"/>
  </x:conditionalFormatting>
  <x:conditionalFormatting sqref="Q4:Q10">
    <x:cfRule type="containsText" dxfId="83" priority="12" operator="containsText" text="已完成"/>
    <x:cfRule type="containsText" dxfId="84" priority="13" operator="containsText" text="待确认"/>
  </x:conditionalFormatting>
  <x:conditionalFormatting sqref="R4:R10">
    <x:cfRule type="containsText" dxfId="85" priority="14" operator="containsText" text="通过"/>
    <x:cfRule type="containsText" dxfId="86" priority="15" operator="containsText" text="不通过"/>
  </x:conditionalFormatting>
  <x:conditionalFormatting sqref="K4:K10">
    <x:cfRule type="containsText" dxfId="87" priority="16" operator="containsText" text="已实现"/>
    <x:cfRule type="containsText" dxfId="88" priority="17" operator="containsText" text="开发中"/>
    <x:cfRule type="containsText" dxfId="89" priority="18" operator="containsText" text="暂缓"/>
  </x:conditionalFormatting>
  <x:dataValidations count="8">
    <x:dataValidation type="list" sqref="D4:D10">
      <x:formula1>"P0,P1,P2,P3"</x:formula1>
    </x:dataValidation>
    <x:dataValidation type="list" sqref="E4:E10">
      <x:formula1>"API,UI,混合"</x:formula1>
    </x:dataValidation>
    <x:dataValidation type="list" sqref="K4:K10">
      <x:formula1>"待实现,开发中,已实现,暂缓"</x:formula1>
    </x:dataValidation>
    <x:dataValidation type="list" sqref="L4:L10">
      <x:formula1>"未执行,通过,失败,阻塞,不适用"</x:formula1>
    </x:dataValidation>
    <x:dataValidation type="list" sqref="M4:M10">
      <x:formula1>"是,否"</x:formula1>
    </x:dataValidation>
    <x:dataValidation type="list" sqref="N4:N10">
      <x:formula1>"阻断,高,中,低,轻微"</x:formula1>
    </x:dataValidation>
    <x:dataValidation type="list" sqref="Q4:Q10">
      <x:formula1>"已完成,待确认,暂不修复"</x:formula1>
    </x:dataValidation>
    <x:dataValidation type="list" sqref="R4:R10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bfc37bc1f74d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36" hidden="0" customWidth="1"/>
    <x:col min="4" max="4" width="10" hidden="0" customWidth="1"/>
    <x:col min="5" max="5" width="12" hidden="0" customWidth="1"/>
    <x:col min="6" max="6" width="38" hidden="0" customWidth="1"/>
    <x:col min="7" max="7" width="46" hidden="0" customWidth="1"/>
    <x:col min="8" max="8" width="50" hidden="0" customWidth="1"/>
    <x:col min="9" max="9" width="54" hidden="0" customWidth="1"/>
    <x:col min="10" max="10" width="4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30" hidden="0" customWidth="1"/>
    <x:col min="16" max="16" width="26" hidden="0" customWidth="1"/>
    <x:col min="17" max="17" width="14" hidden="0" customWidth="1"/>
    <x:col min="18" max="18" width="14" hidden="0" customWidth="1"/>
  </x:cols>
  <x:sheetData>
    <x:row r="1" ht="34" customHeight="1">
      <x:c r="A1" s="37" t="str">
        <x:v>4.8 诊断测试自动化测试用例｜交卷与统计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</x:row>
    <x:row r="2" ht="26" customHeight="1">
      <x:c r="A2" s="7" t="str">
        <x:v>来源：文档/4-需求文档/4.8 诊断测试.md　｜　范围：参数化规则、状态机、并发、时序与故障注入　｜　交卷与统计：6 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 ht="36" customHeight="1">
      <x:c r="A3" s="42" t="str">
        <x:v>用例编号</x:v>
      </x:c>
      <x:c r="B3" s="42" t="str">
        <x:v>功能模块</x:v>
      </x:c>
      <x:c r="C3" s="42" t="str">
        <x:v>用例标题</x:v>
      </x:c>
      <x:c r="D3" s="42" t="str">
        <x:v>优先级</x:v>
      </x:c>
      <x:c r="E3" s="42" t="str">
        <x:v>自动化层级</x:v>
      </x:c>
      <x:c r="F3" s="42" t="str">
        <x:v>前置数据/Mock</x:v>
      </x:c>
      <x:c r="G3" s="42" t="str">
        <x:v>参数化测试数据</x:v>
      </x:c>
      <x:c r="H3" s="42" t="str">
        <x:v>自动化步骤</x:v>
      </x:c>
      <x:c r="I3" s="42" t="str">
        <x:v>断言</x:v>
      </x:c>
      <x:c r="J3" s="42" t="str">
        <x:v>建议脚本路径</x:v>
      </x:c>
      <x:c r="K3" s="42" t="str">
        <x:v>脚本状态</x:v>
      </x:c>
      <x:c r="L3" s="42" t="str">
        <x:v>执行状态</x:v>
      </x:c>
      <x:c r="M3" s="42" t="str">
        <x:v>是否通过</x:v>
      </x:c>
      <x:c r="N3" s="42" t="str">
        <x:v>缺陷等级</x:v>
      </x:c>
      <x:c r="O3" s="42" t="str">
        <x:v>实际结果</x:v>
      </x:c>
      <x:c r="P3" s="42" t="str">
        <x:v>备注</x:v>
      </x:c>
      <x:c r="Q3" s="42" t="str">
        <x:v>修复情况</x:v>
      </x:c>
      <x:c r="R3" s="42" t="str">
        <x:v>回归情况</x:v>
      </x:c>
    </x:row>
    <x:row r="4" ht="85" customHeight="1">
      <x:c r="A4" s="49" t="str">
        <x:v>AUT-DIAG-SUBMIT-001</x:v>
      </x:c>
      <x:c r="B4" s="49" t="str">
        <x:v>交卷与统计</x:v>
      </x:c>
      <x:c r="C4" s="49" t="str">
        <x:v>诊断生命周期与跨页面统计精确增量</x:v>
      </x:c>
      <x:c r="D4" s="49" t="str">
        <x:v>P0</x:v>
      </x:c>
      <x:c r="E4" s="49" t="str">
        <x:v>混合</x:v>
      </x:c>
      <x:c r="F4" s="47" t="str">
        <x:v>学生两类考试均有统计；目标年份可完成诊断</x:v>
      </x:c>
      <x:c r="G4" s="47" t="str">
        <x:v>ESAT/TMUA；暂停；全部分段锁定未交卷；正式交卷；刷新/重登录</x:v>
      </x:c>
      <x:c r="H4" s="47" t="str">
        <x:v>1. 读取年份历史H、个人中心诊断次数D和另一考试D2基线
2. 创建、暂停并读取三项指标
3. 完成分段但暂不成功交卷，再次读取
4. 正式交卷后读取H、D、D2和占用
5. 刷新并重登录复核后清理</x:v>
      </x:c>
      <x:c r="I4" s="47" t="str">
        <x:v>进行中及未成功交卷时H/D/D2不变；正式交卷后H+1、D+1、D2不变并释放本考试占用；结果持久。</x:v>
      </x:c>
      <x:c r="J4" s="47" t="str">
        <x:v>quiz-web/e2e/diagnostic/submit-stats-lifecycle.spec.ts</x:v>
      </x:c>
      <x:c r="K4" s="50" t="str">
        <x:v>待实现</x:v>
      </x:c>
      <x:c r="L4" s="50" t="str">
        <x:v>未执行</x:v>
      </x:c>
      <x:c r="M4" s="50"/>
      <x:c r="N4" s="50"/>
      <x:c r="O4" s="50"/>
      <x:c r="P4" s="50"/>
      <x:c r="Q4" s="50"/>
      <x:c r="R4" s="50"/>
    </x:row>
    <x:row r="5" ht="85" customHeight="1">
      <x:c r="A5" s="52" t="str">
        <x:v>AUT-DIAG-SUBMIT-002</x:v>
      </x:c>
      <x:c r="B5" s="52" t="str">
        <x:v>交卷与统计</x:v>
      </x:c>
      <x:c r="C5" s="52" t="str">
        <x:v>最终交卷并发、响应丢失与重试幂等性</x:v>
      </x:c>
      <x:c r="D5" s="52" t="str">
        <x:v>P0</x:v>
      </x:c>
      <x:c r="E5" s="52" t="str">
        <x:v>API</x:v>
      </x:c>
      <x:c r="F5" s="51" t="str">
        <x:v>测试已到最终交卷，记录完成、统计和报告任务基线</x:v>
      </x:c>
      <x:c r="G5" s="51" t="str">
        <x:v>重复点击；2/5并发；成功响应丢失；超时重试；跨窗口提交</x:v>
      </x:c>
      <x:c r="H5" s="51" t="str">
        <x:v>1. 读取完成记录C、历史H、次数D、报告任务R
2. 按参数执行最终交卷
3. 等待并读取C/H/D/R及返回标识
4. 重放请求并再次读取
5. 清理测试</x:v>
      </x:c>
      <x:c r="I5" s="51" t="str">
        <x:v>仅C+1、H+1、D+1、R+1；所有成功响应指向同一完成结果；重放不重复增长。</x:v>
      </x:c>
      <x:c r="J5" s="51" t="str">
        <x:v>api/tests/diagnostic/final-submit-idempotency.spec.ts</x:v>
      </x:c>
      <x:c r="K5" s="50" t="str">
        <x:v>待实现</x:v>
      </x:c>
      <x:c r="L5" s="50" t="str">
        <x:v>未执行</x:v>
      </x:c>
      <x:c r="M5" s="50"/>
      <x:c r="N5" s="50"/>
      <x:c r="O5" s="50"/>
      <x:c r="P5" s="50"/>
      <x:c r="Q5" s="50"/>
      <x:c r="R5" s="50"/>
    </x:row>
    <x:row r="6" ht="85" customHeight="1">
      <x:c r="A6" s="49" t="str">
        <x:v>AUT-DIAG-SUBMIT-003</x:v>
      </x:c>
      <x:c r="B6" s="49" t="str">
        <x:v>交卷与统计</x:v>
      </x:c>
      <x:c r="C6" s="49" t="str">
        <x:v>交卷故障原子性与恢复矩阵</x:v>
      </x:c>
      <x:c r="D6" s="49" t="str">
        <x:v>P0</x:v>
      </x:c>
      <x:c r="E6" s="49" t="str">
        <x:v>API</x:v>
      </x:c>
      <x:c r="F6" s="47" t="str">
        <x:v>在完成记录、统计、报告任务写入点注入故障</x:v>
      </x:c>
      <x:c r="G6" s="47" t="str">
        <x:v>事务前失败；完成记录后失败；统计后失败；报告任务后响应丢失</x:v>
      </x:c>
      <x:c r="H6" s="47" t="str">
        <x:v>1. 读取C/H/D/R基线与锁定答案
2. 注入故障并执行交卷
3. 读取所有业务状态
4. 解除故障并重试同一测试
5. 复核最终增量并清理</x:v>
      </x:c>
      <x:c r="I6" s="47" t="str">
        <x:v>失败不得留下互相矛盾的部分结果；锁定答案保留；恢复后最终四项各增加一次。</x:v>
      </x:c>
      <x:c r="J6" s="47" t="str">
        <x:v>api/tests/diagnostic/final-submit-atomicity.spec.ts</x:v>
      </x:c>
      <x:c r="K6" s="50" t="str">
        <x:v>待实现</x:v>
      </x:c>
      <x:c r="L6" s="50" t="str">
        <x:v>未执行</x:v>
      </x:c>
      <x:c r="M6" s="50"/>
      <x:c r="N6" s="50"/>
      <x:c r="O6" s="50"/>
      <x:c r="P6" s="50"/>
      <x:c r="Q6" s="50"/>
      <x:c r="R6" s="50"/>
    </x:row>
    <x:row r="7" ht="85" customHeight="1">
      <x:c r="A7" s="52" t="str">
        <x:v>AUT-DIAG-SUBMIT-004</x:v>
      </x:c>
      <x:c r="B7" s="52" t="str">
        <x:v>交卷与统计</x:v>
      </x:c>
      <x:c r="C7" s="52" t="str">
        <x:v>正式交卷释放同考试进行中占用</x:v>
      </x:c>
      <x:c r="D7" s="52" t="str">
        <x:v>P0</x:v>
      </x:c>
      <x:c r="E7" s="52" t="str">
        <x:v>API</x:v>
      </x:c>
      <x:c r="F7" s="51" t="str">
        <x:v>目标考试有一场到交卷节点的测试及另一可用卷</x:v>
      </x:c>
      <x:c r="G7" s="51" t="str">
        <x:v>交卷前创建；交卷成功后创建；交卷失败后创建；另一考试创建</x:v>
      </x:c>
      <x:c r="H7" s="51" t="str">
        <x:v>1. 读取进行中占用并尝试参数化创建
2. 执行最终交卷成功或失败
3. 再次尝试创建目标卷
4. 查询两类考试进行中列表
5. 清理记录</x:v>
      </x:c>
      <x:c r="I7" s="51" t="str">
        <x:v>交卷前或失败后同考试仍互斥；成功后立即释放并可新建；另一考试始终不受影响。</x:v>
      </x:c>
      <x:c r="J7" s="51" t="str">
        <x:v>api/tests/diagnostic/occupancy-release.spec.ts</x:v>
      </x:c>
      <x:c r="K7" s="50" t="str">
        <x:v>待实现</x:v>
      </x:c>
      <x:c r="L7" s="50" t="str">
        <x:v>未执行</x:v>
      </x:c>
      <x:c r="M7" s="50"/>
      <x:c r="N7" s="50"/>
      <x:c r="O7" s="50"/>
      <x:c r="P7" s="50"/>
      <x:c r="Q7" s="50"/>
      <x:c r="R7" s="50"/>
    </x:row>
    <x:row r="8" ht="85" customHeight="1">
      <x:c r="A8" s="49" t="str">
        <x:v>AUT-DIAG-SUBMIT-005</x:v>
      </x:c>
      <x:c r="B8" s="49" t="str">
        <x:v>交卷与统计</x:v>
      </x:c>
      <x:c r="C8" s="49" t="str">
        <x:v>成绩、正确题数和有效用时来源一致</x:v>
      </x:c>
      <x:c r="D8" s="49" t="str">
        <x:v>P1</x:v>
      </x:c>
      <x:c r="E8" s="49" t="str">
        <x:v>API</x:v>
      </x:c>
      <x:c r="F8" s="47" t="str">
        <x:v>准备不同已答/未答、暂停和到时场景的锁定答案</x:v>
      </x:c>
      <x:c r="G8" s="47" t="str">
        <x:v>全答；部分未答；多次暂停；到时锁定；ESAT三科；TMUA双卷</x:v>
      </x:c>
      <x:c r="H8" s="47" t="str">
        <x:v>1. 建立锁定答案与服务端计时基线
2. 正式交卷并读取完成结果
3. 查询历史记录和个人中心最新成绩
4. 对照服务端答案与有效作答时间计算
5. 清理数据</x:v>
      </x:c>
      <x:c r="I8" s="47" t="str">
        <x:v>正确题数、总题数、成绩和有效用时来自同一锁定答卷；客户端停留和暂停时间不被错误计入；未答不伪装已答。</x:v>
      </x:c>
      <x:c r="J8" s="47" t="str">
        <x:v>api/tests/diagnostic/result-aggregation.spec.ts</x:v>
      </x:c>
      <x:c r="K8" s="50" t="str">
        <x:v>待实现</x:v>
      </x:c>
      <x:c r="L8" s="50" t="str">
        <x:v>未执行</x:v>
      </x:c>
      <x:c r="M8" s="50"/>
      <x:c r="N8" s="50"/>
      <x:c r="O8" s="50"/>
      <x:c r="P8" s="50"/>
      <x:c r="Q8" s="50"/>
      <x:c r="R8" s="50"/>
    </x:row>
    <x:row r="9" ht="85" customHeight="1">
      <x:c r="A9" s="52" t="str">
        <x:v>AUT-DIAG-SUBMIT-006</x:v>
      </x:c>
      <x:c r="B9" s="52" t="str">
        <x:v>交卷与统计</x:v>
      </x:c>
      <x:c r="C9" s="52" t="str">
        <x:v>账号、考试和年份统计范围隔离</x:v>
      </x:c>
      <x:c r="D9" s="52" t="str">
        <x:v>P0</x:v>
      </x:c>
      <x:c r="E9" s="52" t="str">
        <x:v>API</x:v>
      </x:c>
      <x:c r="F9" s="51" t="str">
        <x:v>两个账号、两类考试和多个年份均有不同基线</x:v>
      </x:c>
      <x:c r="G9" s="51" t="str">
        <x:v>账号A交ESAT 2024；账号A交TMUA 2023；账号B无操作；同年不同组合</x:v>
      </x:c>
      <x:c r="H9" s="51" t="str">
        <x:v>1. 读取所有范围的H和D基线
2. 仅在参数指定范围完成正式交卷
3. 再读所有账号、考试、年份和组合聚合
4. 重读验证持久性
5. 清理新增记录</x:v>
      </x:c>
      <x:c r="I9" s="51" t="str">
        <x:v>只有目标账号的目标考试D+1和目标年份H+1；其他账号、考试、年份保持不变；同年不同组合共同进入该年历史。</x:v>
      </x:c>
      <x:c r="J9" s="51" t="str">
        <x:v>api/tests/diagnostic/stat-scope-isolation.spec.ts</x:v>
      </x:c>
      <x:c r="K9" s="50" t="str">
        <x:v>待实现</x:v>
      </x:c>
      <x:c r="L9" s="50" t="str">
        <x:v>未执行</x:v>
      </x:c>
      <x:c r="M9" s="50"/>
      <x:c r="N9" s="50"/>
      <x:c r="O9" s="50"/>
      <x:c r="P9" s="50"/>
      <x:c r="Q9" s="50"/>
      <x:c r="R9" s="50"/>
    </x:row>
  </x:sheetData>
  <x:mergeCells>
    <x:mergeCell ref="A1:R1"/>
    <x:mergeCell ref="A2:R2"/>
  </x:mergeCells>
  <x:conditionalFormatting sqref="D4:D9">
    <x:cfRule type="containsText" dxfId="90" priority="1" operator="containsText" text="P0"/>
    <x:cfRule type="containsText" dxfId="91" priority="2" operator="containsText" text="P1"/>
  </x:conditionalFormatting>
  <x:conditionalFormatting sqref="L4:L9">
    <x:cfRule type="containsText" dxfId="92" priority="3" operator="containsText" text="通过"/>
    <x:cfRule type="containsText" dxfId="93" priority="4" operator="containsText" text="失败"/>
    <x:cfRule type="containsText" dxfId="94" priority="5" operator="containsText" text="阻塞"/>
    <x:cfRule type="containsText" dxfId="95" priority="6" operator="containsText" text="未执行"/>
  </x:conditionalFormatting>
  <x:conditionalFormatting sqref="M4:M9">
    <x:cfRule type="containsText" dxfId="96" priority="7" operator="containsText" text="是"/>
    <x:cfRule type="containsText" dxfId="97" priority="8" operator="containsText" text="否"/>
  </x:conditionalFormatting>
  <x:conditionalFormatting sqref="N4:N9">
    <x:cfRule type="containsText" dxfId="98" priority="9" operator="containsText" text="阻断"/>
    <x:cfRule type="containsText" dxfId="99" priority="10" operator="containsText" text="高"/>
    <x:cfRule type="containsText" dxfId="100" priority="11" operator="containsText" text="中"/>
  </x:conditionalFormatting>
  <x:conditionalFormatting sqref="Q4:Q9">
    <x:cfRule type="containsText" dxfId="101" priority="12" operator="containsText" text="已完成"/>
    <x:cfRule type="containsText" dxfId="102" priority="13" operator="containsText" text="待确认"/>
  </x:conditionalFormatting>
  <x:conditionalFormatting sqref="R4:R9">
    <x:cfRule type="containsText" dxfId="103" priority="14" operator="containsText" text="通过"/>
    <x:cfRule type="containsText" dxfId="104" priority="15" operator="containsText" text="不通过"/>
  </x:conditionalFormatting>
  <x:conditionalFormatting sqref="K4:K9">
    <x:cfRule type="containsText" dxfId="105" priority="16" operator="containsText" text="已实现"/>
    <x:cfRule type="containsText" dxfId="106" priority="17" operator="containsText" text="开发中"/>
    <x:cfRule type="containsText" dxfId="107" priority="18" operator="containsText" text="暂缓"/>
  </x:conditionalFormatting>
  <x:dataValidations count="8">
    <x:dataValidation type="list" sqref="D4:D9">
      <x:formula1>"P0,P1,P2,P3"</x:formula1>
    </x:dataValidation>
    <x:dataValidation type="list" sqref="E4:E9">
      <x:formula1>"API,UI,混合"</x:formula1>
    </x:dataValidation>
    <x:dataValidation type="list" sqref="K4:K9">
      <x:formula1>"待实现,开发中,已实现,暂缓"</x:formula1>
    </x:dataValidation>
    <x:dataValidation type="list" sqref="L4:L9">
      <x:formula1>"未执行,通过,失败,阻塞,不适用"</x:formula1>
    </x:dataValidation>
    <x:dataValidation type="list" sqref="M4:M9">
      <x:formula1>"是,否"</x:formula1>
    </x:dataValidation>
    <x:dataValidation type="list" sqref="N4:N9">
      <x:formula1>"阻断,高,中,低,轻微"</x:formula1>
    </x:dataValidation>
    <x:dataValidation type="list" sqref="Q4:Q9">
      <x:formula1>"已完成,待确认,暂不修复"</x:formula1>
    </x:dataValidation>
    <x:dataValidation type="list" sqref="R4:R9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6a889e65ab41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36" hidden="0" customWidth="1"/>
    <x:col min="4" max="4" width="10" hidden="0" customWidth="1"/>
    <x:col min="5" max="5" width="12" hidden="0" customWidth="1"/>
    <x:col min="6" max="6" width="38" hidden="0" customWidth="1"/>
    <x:col min="7" max="7" width="46" hidden="0" customWidth="1"/>
    <x:col min="8" max="8" width="50" hidden="0" customWidth="1"/>
    <x:col min="9" max="9" width="54" hidden="0" customWidth="1"/>
    <x:col min="10" max="10" width="4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30" hidden="0" customWidth="1"/>
    <x:col min="16" max="16" width="26" hidden="0" customWidth="1"/>
    <x:col min="17" max="17" width="14" hidden="0" customWidth="1"/>
    <x:col min="18" max="18" width="14" hidden="0" customWidth="1"/>
  </x:cols>
  <x:sheetData>
    <x:row r="1" ht="34" customHeight="1">
      <x:c r="A1" s="37" t="str">
        <x:v>4.8 诊断测试自动化测试用例｜报告与历史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</x:row>
    <x:row r="2" ht="26" customHeight="1">
      <x:c r="A2" s="7" t="str">
        <x:v>来源：文档/4-需求文档/4.8 诊断测试.md　｜　范围：参数化规则、状态机、并发、时序与故障注入　｜　报告与历史：5 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 ht="36" customHeight="1">
      <x:c r="A3" s="42" t="str">
        <x:v>用例编号</x:v>
      </x:c>
      <x:c r="B3" s="42" t="str">
        <x:v>功能模块</x:v>
      </x:c>
      <x:c r="C3" s="42" t="str">
        <x:v>用例标题</x:v>
      </x:c>
      <x:c r="D3" s="42" t="str">
        <x:v>优先级</x:v>
      </x:c>
      <x:c r="E3" s="42" t="str">
        <x:v>自动化层级</x:v>
      </x:c>
      <x:c r="F3" s="42" t="str">
        <x:v>前置数据/Mock</x:v>
      </x:c>
      <x:c r="G3" s="42" t="str">
        <x:v>参数化测试数据</x:v>
      </x:c>
      <x:c r="H3" s="42" t="str">
        <x:v>自动化步骤</x:v>
      </x:c>
      <x:c r="I3" s="42" t="str">
        <x:v>断言</x:v>
      </x:c>
      <x:c r="J3" s="42" t="str">
        <x:v>建议脚本路径</x:v>
      </x:c>
      <x:c r="K3" s="42" t="str">
        <x:v>脚本状态</x:v>
      </x:c>
      <x:c r="L3" s="42" t="str">
        <x:v>执行状态</x:v>
      </x:c>
      <x:c r="M3" s="42" t="str">
        <x:v>是否通过</x:v>
      </x:c>
      <x:c r="N3" s="42" t="str">
        <x:v>缺陷等级</x:v>
      </x:c>
      <x:c r="O3" s="42" t="str">
        <x:v>实际结果</x:v>
      </x:c>
      <x:c r="P3" s="42" t="str">
        <x:v>备注</x:v>
      </x:c>
      <x:c r="Q3" s="42" t="str">
        <x:v>修复情况</x:v>
      </x:c>
      <x:c r="R3" s="42" t="str">
        <x:v>回归情况</x:v>
      </x:c>
    </x:row>
    <x:row r="4" ht="85" customHeight="1">
      <x:c r="A4" s="49" t="str">
        <x:v>AUT-DIAG-REPORT-001</x:v>
      </x:c>
      <x:c r="B4" s="49" t="str">
        <x:v>报告与历史</x:v>
      </x:c>
      <x:c r="C4" s="49" t="str">
        <x:v>报告任务状态、进度和页面去向矩阵</x:v>
      </x:c>
      <x:c r="D4" s="49" t="str">
        <x:v>P0</x:v>
      </x:c>
      <x:c r="E4" s="49" t="str">
        <x:v>混合</x:v>
      </x:c>
      <x:c r="F4" s="47" t="str">
        <x:v>Mock同一答卷报告任务的待处理、生成中、完成和失败状态</x:v>
      </x:c>
      <x:c r="G4" s="47" t="str">
        <x:v>pending 0%；processing 1/50/99%；completed 100%；failed；ESAT/TMUA</x:v>
      </x:c>
      <x:c r="H4" s="47" t="str">
        <x:v>1. 为参数状态建立报告任务并打开分析弹窗
2. 读取弹窗进度与可用操作
3. 关闭后从历史重新打开
4. 完成状态点击查看报告
5. 清理任务</x:v>
      </x:c>
      <x:c r="I4" s="47" t="str">
        <x:v>真实任务完成前不显示100%；关闭不停止任务；状态对应操作正确；完成后进入同考试报告页。</x:v>
      </x:c>
      <x:c r="J4" s="47" t="str">
        <x:v>quiz-web/e2e/diagnostic/report-status-routing.spec.ts</x:v>
      </x:c>
      <x:c r="K4" s="50" t="str">
        <x:v>待实现</x:v>
      </x:c>
      <x:c r="L4" s="50" t="str">
        <x:v>未执行</x:v>
      </x:c>
      <x:c r="M4" s="50"/>
      <x:c r="N4" s="50"/>
      <x:c r="O4" s="50"/>
      <x:c r="P4" s="50" t="str">
        <x:v>当前实现待对齐：弹窗视觉进度与历史真实进度口径。</x:v>
      </x:c>
      <x:c r="Q4" s="50"/>
      <x:c r="R4" s="50"/>
    </x:row>
    <x:row r="5" ht="85" customHeight="1">
      <x:c r="A5" s="52" t="str">
        <x:v>AUT-DIAG-REPORT-002</x:v>
      </x:c>
      <x:c r="B5" s="52" t="str">
        <x:v>报告与历史</x:v>
      </x:c>
      <x:c r="C5" s="52" t="str">
        <x:v>重新分析只替换或重启报告任务而不重复计数</x:v>
      </x:c>
      <x:c r="D5" s="52" t="str">
        <x:v>P0</x:v>
      </x:c>
      <x:c r="E5" s="52" t="str">
        <x:v>API</x:v>
      </x:c>
      <x:c r="F5" s="51" t="str">
        <x:v>已完成诊断且报告失败，记录成绩、历史、次数和任务</x:v>
      </x:c>
      <x:c r="G5" s="51" t="str">
        <x:v>单次重试；重复点击；2/5并发；响应丢失重试</x:v>
      </x:c>
      <x:c r="H5" s="51" t="str">
        <x:v>1. 读取S/H/D/T和报告任务基线R
2. 按参数执行重新分析
3. 查询任务、答卷和统计
4. 推进新任务完成后再读
5. 清理任务</x:v>
      </x:c>
      <x:c r="I5" s="51" t="str">
        <x:v>S/H/D/T均不变；同一次失败重试不产生重复有效任务；完成报告绑定原答卷。</x:v>
      </x:c>
      <x:c r="J5" s="51" t="str">
        <x:v>api/tests/diagnostic/report-retry-idempotency.spec.ts</x:v>
      </x:c>
      <x:c r="K5" s="50" t="str">
        <x:v>待实现</x:v>
      </x:c>
      <x:c r="L5" s="50" t="str">
        <x:v>未执行</x:v>
      </x:c>
      <x:c r="M5" s="50"/>
      <x:c r="N5" s="50"/>
      <x:c r="O5" s="50"/>
      <x:c r="P5" s="50"/>
      <x:c r="Q5" s="50"/>
      <x:c r="R5" s="50"/>
    </x:row>
    <x:row r="6" ht="85" customHeight="1">
      <x:c r="A6" s="49" t="str">
        <x:v>AUT-DIAG-REPORT-003</x:v>
      </x:c>
      <x:c r="B6" s="49" t="str">
        <x:v>报告与历史</x:v>
      </x:c>
      <x:c r="C6" s="49" t="str">
        <x:v>报告查询故障不回退诊断完成状态</x:v>
      </x:c>
      <x:c r="D6" s="49" t="str">
        <x:v>P0</x:v>
      </x:c>
      <x:c r="E6" s="49" t="str">
        <x:v>混合</x:v>
      </x:c>
      <x:c r="F6" s="47" t="str">
        <x:v>诊断已完成；Mock报告进度查询超时、500和恢复</x:v>
      </x:c>
      <x:c r="G6" s="47" t="str">
        <x:v>超时；500；空响应；随后成功</x:v>
      </x:c>
      <x:c r="H6" s="47" t="str">
        <x:v>1. 读取完成记录和次数基线
2. 打开分析或历史并注入查询故障
3. 检查页面错误与测试状态
4. 恢复查询并重试
5. 再读完成记录和次数</x:v>
      </x:c>
      <x:c r="I6" s="47" t="str">
        <x:v>查询失败只提示稍后重试；测试保持已完成、次数不回退、不新建报告；恢复后显示原任务。</x:v>
      </x:c>
      <x:c r="J6" s="47" t="str">
        <x:v>quiz-web/e2e/diagnostic/report-query-failure.spec.ts</x:v>
      </x:c>
      <x:c r="K6" s="50" t="str">
        <x:v>待实现</x:v>
      </x:c>
      <x:c r="L6" s="50" t="str">
        <x:v>未执行</x:v>
      </x:c>
      <x:c r="M6" s="50"/>
      <x:c r="N6" s="50"/>
      <x:c r="O6" s="50"/>
      <x:c r="P6" s="50"/>
      <x:c r="Q6" s="50"/>
      <x:c r="R6" s="50"/>
    </x:row>
    <x:row r="7" ht="85" customHeight="1">
      <x:c r="A7" s="52" t="str">
        <x:v>AUT-DIAG-REPORT-004</x:v>
      </x:c>
      <x:c r="B7" s="52" t="str">
        <x:v>报告与历史</x:v>
      </x:c>
      <x:c r="C7" s="52" t="str">
        <x:v>历史记录范围、排序与分页聚合</x:v>
      </x:c>
      <x:c r="D7" s="52" t="str">
        <x:v>P1</x:v>
      </x:c>
      <x:c r="E7" s="52" t="str">
        <x:v>API</x:v>
      </x:c>
      <x:c r="F7" s="51" t="str">
        <x:v>生成多账号、多考试、多年份、多组合及多页完成记录</x:v>
      </x:c>
      <x:c r="G7" s="51" t="str">
        <x:v>page=1/2/末页；不同pageSize；同秒交卷；报告各状态；进行中混入</x:v>
      </x:c>
      <x:c r="H7" s="51" t="str">
        <x:v>1. 建立参数化记录并计算目标集合
2. 查询目标考试和年份历史
3. 遍历分页并合并结果
4. 对照字段、排序和总数
5. 清理记录</x:v>
      </x:c>
      <x:c r="I7" s="51" t="str">
        <x:v>只返回当前账号、考试、年份的已提交记录；倒序稳定、无重复遗漏；进行中不计入；字段和操作状态完整。</x:v>
      </x:c>
      <x:c r="J7" s="51" t="str">
        <x:v>api/tests/diagnostic/history-pagination.spec.ts</x:v>
      </x:c>
      <x:c r="K7" s="50" t="str">
        <x:v>待实现</x:v>
      </x:c>
      <x:c r="L7" s="50" t="str">
        <x:v>未执行</x:v>
      </x:c>
      <x:c r="M7" s="50"/>
      <x:c r="N7" s="50"/>
      <x:c r="O7" s="50"/>
      <x:c r="P7" s="50"/>
      <x:c r="Q7" s="50"/>
      <x:c r="R7" s="50"/>
    </x:row>
    <x:row r="8" ht="85" customHeight="1">
      <x:c r="A8" s="49" t="str">
        <x:v>AUT-DIAG-REPORT-005</x:v>
      </x:c>
      <x:c r="B8" s="49" t="str">
        <x:v>报告与历史</x:v>
      </x:c>
      <x:c r="C8" s="49" t="str">
        <x:v>下线、归档、访问变更和会员到期后的历史权限</x:v>
      </x:c>
      <x:c r="D8" s="49" t="str">
        <x:v>P0</x:v>
      </x:c>
      <x:c r="E8" s="49" t="str">
        <x:v>API</x:v>
      </x:c>
      <x:c r="F8" s="47" t="str">
        <x:v>学生拥有完成记录和报告，另有其他学生记录用于越权对照</x:v>
      </x:c>
      <x:c r="G8" s="47" t="str">
        <x:v>草稿；审核中；归档；免费→会员；会员到期；他人记录ID</x:v>
      </x:c>
      <x:c r="H8" s="47" t="str">
        <x:v>1. 读取本人历史和报告基线
2. 按参数改变试卷或会员状态
3. 再次读取本人历史、报告并请求重测
4. 尝试读取他人记录
5. 恢复数据</x:v>
      </x:c>
      <x:c r="I8" s="47" t="str">
        <x:v>本人历史和报告持续可读；重测按最新资格；他人记录始终拒绝；状态变化不删除完成数据。</x:v>
      </x:c>
      <x:c r="J8" s="47" t="str">
        <x:v>api/tests/diagnostic/history-retention-access.spec.ts</x:v>
      </x:c>
      <x:c r="K8" s="50" t="str">
        <x:v>待实现</x:v>
      </x:c>
      <x:c r="L8" s="50" t="str">
        <x:v>未执行</x:v>
      </x:c>
      <x:c r="M8" s="50"/>
      <x:c r="N8" s="50"/>
      <x:c r="O8" s="50"/>
      <x:c r="P8" s="50"/>
      <x:c r="Q8" s="50"/>
      <x:c r="R8" s="50"/>
    </x:row>
  </x:sheetData>
  <x:mergeCells>
    <x:mergeCell ref="A1:R1"/>
    <x:mergeCell ref="A2:R2"/>
  </x:mergeCells>
  <x:conditionalFormatting sqref="D4:D8">
    <x:cfRule type="containsText" dxfId="108" priority="1" operator="containsText" text="P0"/>
    <x:cfRule type="containsText" dxfId="109" priority="2" operator="containsText" text="P1"/>
  </x:conditionalFormatting>
  <x:conditionalFormatting sqref="L4:L8">
    <x:cfRule type="containsText" dxfId="110" priority="3" operator="containsText" text="通过"/>
    <x:cfRule type="containsText" dxfId="111" priority="4" operator="containsText" text="失败"/>
    <x:cfRule type="containsText" dxfId="112" priority="5" operator="containsText" text="阻塞"/>
    <x:cfRule type="containsText" dxfId="113" priority="6" operator="containsText" text="未执行"/>
  </x:conditionalFormatting>
  <x:conditionalFormatting sqref="M4:M8">
    <x:cfRule type="containsText" dxfId="114" priority="7" operator="containsText" text="是"/>
    <x:cfRule type="containsText" dxfId="115" priority="8" operator="containsText" text="否"/>
  </x:conditionalFormatting>
  <x:conditionalFormatting sqref="N4:N8">
    <x:cfRule type="containsText" dxfId="116" priority="9" operator="containsText" text="阻断"/>
    <x:cfRule type="containsText" dxfId="117" priority="10" operator="containsText" text="高"/>
    <x:cfRule type="containsText" dxfId="118" priority="11" operator="containsText" text="中"/>
  </x:conditionalFormatting>
  <x:conditionalFormatting sqref="Q4:Q8">
    <x:cfRule type="containsText" dxfId="119" priority="12" operator="containsText" text="已完成"/>
    <x:cfRule type="containsText" dxfId="120" priority="13" operator="containsText" text="待确认"/>
  </x:conditionalFormatting>
  <x:conditionalFormatting sqref="R4:R8">
    <x:cfRule type="containsText" dxfId="121" priority="14" operator="containsText" text="通过"/>
    <x:cfRule type="containsText" dxfId="122" priority="15" operator="containsText" text="不通过"/>
  </x:conditionalFormatting>
  <x:conditionalFormatting sqref="K4:K8">
    <x:cfRule type="containsText" dxfId="123" priority="16" operator="containsText" text="已实现"/>
    <x:cfRule type="containsText" dxfId="124" priority="17" operator="containsText" text="开发中"/>
    <x:cfRule type="containsText" dxfId="125" priority="18" operator="containsText" text="暂缓"/>
  </x:conditionalFormatting>
  <x:dataValidations count="8">
    <x:dataValidation type="list" sqref="D4:D8">
      <x:formula1>"P0,P1,P2,P3"</x:formula1>
    </x:dataValidation>
    <x:dataValidation type="list" sqref="E4:E8">
      <x:formula1>"API,UI,混合"</x:formula1>
    </x:dataValidation>
    <x:dataValidation type="list" sqref="K4:K8">
      <x:formula1>"待实现,开发中,已实现,暂缓"</x:formula1>
    </x:dataValidation>
    <x:dataValidation type="list" sqref="L4:L8">
      <x:formula1>"未执行,通过,失败,阻塞,不适用"</x:formula1>
    </x:dataValidation>
    <x:dataValidation type="list" sqref="M4:M8">
      <x:formula1>"是,否"</x:formula1>
    </x:dataValidation>
    <x:dataValidation type="list" sqref="N4:N8">
      <x:formula1>"阻断,高,中,低,轻微"</x:formula1>
    </x:dataValidation>
    <x:dataValidation type="list" sqref="Q4:Q8">
      <x:formula1>"已完成,待确认,暂不修复"</x:formula1>
    </x:dataValidation>
    <x:dataValidation type="list" sqref="R4:R8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a94d0ce2334c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36" hidden="0" customWidth="1"/>
    <x:col min="4" max="4" width="10" hidden="0" customWidth="1"/>
    <x:col min="5" max="5" width="12" hidden="0" customWidth="1"/>
    <x:col min="6" max="6" width="38" hidden="0" customWidth="1"/>
    <x:col min="7" max="7" width="46" hidden="0" customWidth="1"/>
    <x:col min="8" max="8" width="50" hidden="0" customWidth="1"/>
    <x:col min="9" max="9" width="54" hidden="0" customWidth="1"/>
    <x:col min="10" max="10" width="4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30" hidden="0" customWidth="1"/>
    <x:col min="16" max="16" width="26" hidden="0" customWidth="1"/>
    <x:col min="17" max="17" width="14" hidden="0" customWidth="1"/>
    <x:col min="18" max="18" width="14" hidden="0" customWidth="1"/>
  </x:cols>
  <x:sheetData>
    <x:row r="1" ht="34" customHeight="1">
      <x:c r="A1" s="37" t="str">
        <x:v>4.8 诊断测试自动化测试用例｜后台状态与版本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</x:row>
    <x:row r="2" ht="26" customHeight="1">
      <x:c r="A2" s="7" t="str">
        <x:v>来源：文档/4-需求文档/4.8 诊断测试.md　｜　范围：参数化规则、状态机、并发、时序与故障注入　｜　后台状态与版本：6 条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 ht="36" customHeight="1">
      <x:c r="A3" s="42" t="str">
        <x:v>用例编号</x:v>
      </x:c>
      <x:c r="B3" s="42" t="str">
        <x:v>功能模块</x:v>
      </x:c>
      <x:c r="C3" s="42" t="str">
        <x:v>用例标题</x:v>
      </x:c>
      <x:c r="D3" s="42" t="str">
        <x:v>优先级</x:v>
      </x:c>
      <x:c r="E3" s="42" t="str">
        <x:v>自动化层级</x:v>
      </x:c>
      <x:c r="F3" s="42" t="str">
        <x:v>前置数据/Mock</x:v>
      </x:c>
      <x:c r="G3" s="42" t="str">
        <x:v>参数化测试数据</x:v>
      </x:c>
      <x:c r="H3" s="42" t="str">
        <x:v>自动化步骤</x:v>
      </x:c>
      <x:c r="I3" s="42" t="str">
        <x:v>断言</x:v>
      </x:c>
      <x:c r="J3" s="42" t="str">
        <x:v>建议脚本路径</x:v>
      </x:c>
      <x:c r="K3" s="42" t="str">
        <x:v>脚本状态</x:v>
      </x:c>
      <x:c r="L3" s="42" t="str">
        <x:v>执行状态</x:v>
      </x:c>
      <x:c r="M3" s="42" t="str">
        <x:v>是否通过</x:v>
      </x:c>
      <x:c r="N3" s="42" t="str">
        <x:v>缺陷等级</x:v>
      </x:c>
      <x:c r="O3" s="42" t="str">
        <x:v>实际结果</x:v>
      </x:c>
      <x:c r="P3" s="42" t="str">
        <x:v>备注</x:v>
      </x:c>
      <x:c r="Q3" s="42" t="str">
        <x:v>修复情况</x:v>
      </x:c>
      <x:c r="R3" s="42" t="str">
        <x:v>回归情况</x:v>
      </x:c>
    </x:row>
    <x:row r="4" ht="85" customHeight="1">
      <x:c r="A4" s="49" t="str">
        <x:v>AUT-DIAG-ADMIN-001</x:v>
      </x:c>
      <x:c r="B4" s="49" t="str">
        <x:v>后台状态与版本</x:v>
      </x:c>
      <x:c r="C4" s="49" t="str">
        <x:v>后台诊断卷状态白名单校验</x:v>
      </x:c>
      <x:c r="D4" s="49" t="str">
        <x:v>P0</x:v>
      </x:c>
      <x:c r="E4" s="49" t="str">
        <x:v>API</x:v>
      </x:c>
      <x:c r="F4" s="47" t="str">
        <x:v>管理员身份和可更新试卷；支持直接提交状态参数</x:v>
      </x:c>
      <x:c r="G4" s="47" t="str">
        <x:v>草稿；审核中；已上线；已归档；空值；unknown；大小写变体；数组/对象</x:v>
      </x:c>
      <x:c r="H4" s="47" t="str">
        <x:v>1. 记录试卷原状态
2. 逐组提交状态更新
3. 读取统一响应和持久化状态
4. 以学生身份查询年份入口
5. 恢复原状态</x:v>
      </x:c>
      <x:c r="I4" s="47" t="str">
        <x:v>只接受四种正式状态；异常值拒绝且原状态不变；学生端不会出现无法解释状态。</x:v>
      </x:c>
      <x:c r="J4" s="47" t="str">
        <x:v>api/tests/admin/diagnostic-paper-status-whitelist.spec.ts</x:v>
      </x:c>
      <x:c r="K4" s="50" t="str">
        <x:v>待实现</x:v>
      </x:c>
      <x:c r="L4" s="50" t="str">
        <x:v>未执行</x:v>
      </x:c>
      <x:c r="M4" s="50"/>
      <x:c r="N4" s="50"/>
      <x:c r="O4" s="50"/>
      <x:c r="P4" s="50" t="str">
        <x:v>当前实现待对齐：服务端白名单校验。</x:v>
      </x:c>
      <x:c r="Q4" s="50"/>
      <x:c r="R4" s="50"/>
    </x:row>
    <x:row r="5" ht="85" customHeight="1">
      <x:c r="A5" s="52" t="str">
        <x:v>AUT-DIAG-ADMIN-002</x:v>
      </x:c>
      <x:c r="B5" s="52" t="str">
        <x:v>后台状态与版本</x:v>
      </x:c>
      <x:c r="C5" s="52" t="str">
        <x:v>发布状态与学生记录联动矩阵</x:v>
      </x:c>
      <x:c r="D5" s="52" t="str">
        <x:v>P0</x:v>
      </x:c>
      <x:c r="E5" s="52" t="str">
        <x:v>API</x:v>
      </x:c>
      <x:c r="F5" s="51" t="str">
        <x:v>同卷分别准备无记录、进行中和已完成学生</x:v>
      </x:c>
      <x:c r="G5" s="51" t="str">
        <x:v>已上线→草稿/审核中/归档；非上线→已上线</x:v>
      </x:c>
      <x:c r="H5" s="51" t="str">
        <x:v>1. 记录三类学生年份、继续、历史和重测基线
2. 执行参数化状态变更
3. 分别查询三类学生的入口并执行允许操作
4. 恢复已上线后再次查询
5. 清理记录</x:v>
      </x:c>
      <x:c r="I5" s="51" t="str">
        <x:v>非上线时无记录者无新入口，进行中可继续，完成者可看历史但不可重测；重新上线后按最新资格恢复新建/重测。</x:v>
      </x:c>
      <x:c r="J5" s="51" t="str">
        <x:v>api/tests/diagnostic/publish-state-student-matrix.spec.ts</x:v>
      </x:c>
      <x:c r="K5" s="50" t="str">
        <x:v>待实现</x:v>
      </x:c>
      <x:c r="L5" s="50" t="str">
        <x:v>未执行</x:v>
      </x:c>
      <x:c r="M5" s="50"/>
      <x:c r="N5" s="50"/>
      <x:c r="O5" s="50"/>
      <x:c r="P5" s="50"/>
      <x:c r="Q5" s="50"/>
      <x:c r="R5" s="50"/>
    </x:row>
    <x:row r="6" ht="85" customHeight="1">
      <x:c r="A6" s="49" t="str">
        <x:v>AUT-DIAG-ADMIN-003</x:v>
      </x:c>
      <x:c r="B6" s="49" t="str">
        <x:v>后台状态与版本</x:v>
      </x:c>
      <x:c r="C6" s="49" t="str">
        <x:v>关联学生记录时删除约束</x:v>
      </x:c>
      <x:c r="D6" s="49" t="str">
        <x:v>P0</x:v>
      </x:c>
      <x:c r="E6" s="49" t="str">
        <x:v>API</x:v>
      </x:c>
      <x:c r="F6" s="47" t="str">
        <x:v>准备无记录、只有进行中、只有完成、答题关联和报告关联试卷</x:v>
      </x:c>
      <x:c r="G6" s="47" t="str">
        <x:v>各类关联组合；归档后再删除；并发删除与开始</x:v>
      </x:c>
      <x:c r="H6" s="47" t="str">
        <x:v>1. 记录试卷和关联记录基线
2. 按参数发起删除
3. 读取结果及所有关联记录
4. 对拒绝项执行归档并验证学生入口
5. 清理无关联卷</x:v>
      </x:c>
      <x:c r="I6" s="47" t="str">
        <x:v>任何学生作答或关联存在时拒绝删除并提示归档；关联数据保持；只有完全无关联卷可删除。</x:v>
      </x:c>
      <x:c r="J6" s="47" t="str">
        <x:v>api/tests/admin/diagnostic-paper-delete-guard.spec.ts</x:v>
      </x:c>
      <x:c r="K6" s="50" t="str">
        <x:v>待实现</x:v>
      </x:c>
      <x:c r="L6" s="50" t="str">
        <x:v>未执行</x:v>
      </x:c>
      <x:c r="M6" s="50"/>
      <x:c r="N6" s="50"/>
      <x:c r="O6" s="50"/>
      <x:c r="P6" s="50"/>
      <x:c r="Q6" s="50"/>
      <x:c r="R6" s="50"/>
    </x:row>
    <x:row r="7" ht="85" customHeight="1">
      <x:c r="A7" s="52" t="str">
        <x:v>AUT-DIAG-ADMIN-004</x:v>
      </x:c>
      <x:c r="B7" s="52" t="str">
        <x:v>后台状态与版本</x:v>
      </x:c>
      <x:c r="C7" s="52" t="str">
        <x:v>免费会员访问级别变更联动矩阵</x:v>
      </x:c>
      <x:c r="D7" s="52" t="str">
        <x:v>P0</x:v>
      </x:c>
      <x:c r="E7" s="52" t="str">
        <x:v>API</x:v>
      </x:c>
      <x:c r="F7" s="51" t="str">
        <x:v>普通学生、同考试会员、异考试会员分别处于无记录/进行中/完成状态</x:v>
      </x:c>
      <x:c r="G7" s="51" t="str">
        <x:v>免费→会员；会员→免费；开始前变更；进行中变更；完成后重测</x:v>
      </x:c>
      <x:c r="H7" s="51" t="str">
        <x:v>1. 记录各学生入口、继续、历史和重测基线
2. 修改访问级别
3. 执行新建、继续、历史和重测请求
4. 查询记录是否变化
5. 恢复访问级别</x:v>
      </x:c>
      <x:c r="I7" s="51" t="str">
        <x:v>变更只影响新建和重测；进行中和历史不受阻断；会员绑定考试类型；记录不被删除或重写。</x:v>
      </x:c>
      <x:c r="J7" s="51" t="str">
        <x:v>api/tests/diagnostic/access-level-transition.spec.ts</x:v>
      </x:c>
      <x:c r="K7" s="50" t="str">
        <x:v>待实现</x:v>
      </x:c>
      <x:c r="L7" s="50" t="str">
        <x:v>未执行</x:v>
      </x:c>
      <x:c r="M7" s="50"/>
      <x:c r="N7" s="50"/>
      <x:c r="O7" s="50"/>
      <x:c r="P7" s="50"/>
      <x:c r="Q7" s="50"/>
      <x:c r="R7" s="50"/>
    </x:row>
    <x:row r="8" ht="85" customHeight="1">
      <x:c r="A8" s="49" t="str">
        <x:v>AUT-DIAG-ADMIN-005</x:v>
      </x:c>
      <x:c r="B8" s="49" t="str">
        <x:v>后台状态与版本</x:v>
      </x:c>
      <x:c r="C8" s="49" t="str">
        <x:v>产生作答后关键结构不可变</x:v>
      </x:c>
      <x:c r="D8" s="49" t="str">
        <x:v>P0</x:v>
      </x:c>
      <x:c r="E8" s="49" t="str">
        <x:v>API</x:v>
      </x:c>
      <x:c r="F8" s="47" t="str">
        <x:v>分别准备无作答草稿、进行中和已完成关联试卷</x:v>
      </x:c>
      <x:c r="G8" s="47" t="str">
        <x:v>考试类型；年份；时长；分段顺序；题目内容；标题；访问级别；发布状态</x:v>
      </x:c>
      <x:c r="H8" s="47" t="str">
        <x:v>1. 读取原卷结构和学生快照
2. 逐组提交字段更新
3. 读取更新结果、源卷和学生测试
4. 创建新版本并上线作为对照
5. 清理新版本</x:v>
      </x:c>
      <x:c r="I8" s="47" t="str">
        <x:v>有作答后考试类型、年份、时长、分段和题目修改被拒绝；新版本承接新测试；旧测试和报告不变。</x:v>
      </x:c>
      <x:c r="J8" s="47" t="str">
        <x:v>api/tests/admin/diagnostic-paper-immutability.spec.ts</x:v>
      </x:c>
      <x:c r="K8" s="50" t="str">
        <x:v>待实现</x:v>
      </x:c>
      <x:c r="L8" s="50" t="str">
        <x:v>未执行</x:v>
      </x:c>
      <x:c r="M8" s="50"/>
      <x:c r="N8" s="50"/>
      <x:c r="O8" s="50"/>
      <x:c r="P8" s="50"/>
      <x:c r="Q8" s="50"/>
      <x:c r="R8" s="50"/>
    </x:row>
    <x:row r="9" ht="85" customHeight="1">
      <x:c r="A9" s="52" t="str">
        <x:v>AUT-DIAG-ADMIN-006</x:v>
      </x:c>
      <x:c r="B9" s="52" t="str">
        <x:v>后台状态与版本</x:v>
      </x:c>
      <x:c r="C9" s="52" t="str">
        <x:v>管理端更新失败与学生端缓存冲突处理</x:v>
      </x:c>
      <x:c r="D9" s="52" t="str">
        <x:v>P0</x:v>
      </x:c>
      <x:c r="E9" s="52" t="str">
        <x:v>混合</x:v>
      </x:c>
      <x:c r="F9" s="51" t="str">
        <x:v>学生停留旧页面；Mock管理端更新失败、成功及学生列表缓存</x:v>
      </x:c>
      <x:c r="G9" s="51" t="str">
        <x:v>保存失败；成功下线；成功改会员；成功重新上线；旧缓存开始/重测</x:v>
      </x:c>
      <x:c r="H9" s="51" t="str">
        <x:v>1. 学生加载旧页面并记录测试数基线
2. 管理员执行参数化更新
3. 学生使用旧按钮开始或重测
4. 读取最新服务端状态、页面刷新结果和测试数
5. 恢复试卷</x:v>
      </x:c>
      <x:c r="I9" s="51" t="str">
        <x:v>管理更新失败不显示假成功且学生维持原状态；成功后旧按钮按最新规则拒绝或允许；拒绝时测试数不变。</x:v>
      </x:c>
      <x:c r="J9" s="51" t="str">
        <x:v>quiz-web/e2e/diagnostic/admin-change-stale-page.spec.ts</x:v>
      </x:c>
      <x:c r="K9" s="50" t="str">
        <x:v>待实现</x:v>
      </x:c>
      <x:c r="L9" s="50" t="str">
        <x:v>未执行</x:v>
      </x:c>
      <x:c r="M9" s="50"/>
      <x:c r="N9" s="50"/>
      <x:c r="O9" s="50"/>
      <x:c r="P9" s="50"/>
      <x:c r="Q9" s="50"/>
      <x:c r="R9" s="50"/>
    </x:row>
  </x:sheetData>
  <x:mergeCells>
    <x:mergeCell ref="A1:R1"/>
    <x:mergeCell ref="A2:R2"/>
  </x:mergeCells>
  <x:conditionalFormatting sqref="D4:D9">
    <x:cfRule type="containsText" dxfId="126" priority="1" operator="containsText" text="P0"/>
    <x:cfRule type="containsText" dxfId="127" priority="2" operator="containsText" text="P1"/>
  </x:conditionalFormatting>
  <x:conditionalFormatting sqref="L4:L9">
    <x:cfRule type="containsText" dxfId="128" priority="3" operator="containsText" text="通过"/>
    <x:cfRule type="containsText" dxfId="129" priority="4" operator="containsText" text="失败"/>
    <x:cfRule type="containsText" dxfId="130" priority="5" operator="containsText" text="阻塞"/>
    <x:cfRule type="containsText" dxfId="131" priority="6" operator="containsText" text="未执行"/>
  </x:conditionalFormatting>
  <x:conditionalFormatting sqref="M4:M9">
    <x:cfRule type="containsText" dxfId="132" priority="7" operator="containsText" text="是"/>
    <x:cfRule type="containsText" dxfId="133" priority="8" operator="containsText" text="否"/>
  </x:conditionalFormatting>
  <x:conditionalFormatting sqref="N4:N9">
    <x:cfRule type="containsText" dxfId="134" priority="9" operator="containsText" text="阻断"/>
    <x:cfRule type="containsText" dxfId="135" priority="10" operator="containsText" text="高"/>
    <x:cfRule type="containsText" dxfId="136" priority="11" operator="containsText" text="中"/>
  </x:conditionalFormatting>
  <x:conditionalFormatting sqref="Q4:Q9">
    <x:cfRule type="containsText" dxfId="137" priority="12" operator="containsText" text="已完成"/>
    <x:cfRule type="containsText" dxfId="138" priority="13" operator="containsText" text="待确认"/>
  </x:conditionalFormatting>
  <x:conditionalFormatting sqref="R4:R9">
    <x:cfRule type="containsText" dxfId="139" priority="14" operator="containsText" text="通过"/>
    <x:cfRule type="containsText" dxfId="140" priority="15" operator="containsText" text="不通过"/>
  </x:conditionalFormatting>
  <x:conditionalFormatting sqref="K4:K9">
    <x:cfRule type="containsText" dxfId="141" priority="16" operator="containsText" text="已实现"/>
    <x:cfRule type="containsText" dxfId="142" priority="17" operator="containsText" text="开发中"/>
    <x:cfRule type="containsText" dxfId="143" priority="18" operator="containsText" text="暂缓"/>
  </x:conditionalFormatting>
  <x:dataValidations count="8">
    <x:dataValidation type="list" sqref="D4:D9">
      <x:formula1>"P0,P1,P2,P3"</x:formula1>
    </x:dataValidation>
    <x:dataValidation type="list" sqref="E4:E9">
      <x:formula1>"API,UI,混合"</x:formula1>
    </x:dataValidation>
    <x:dataValidation type="list" sqref="K4:K9">
      <x:formula1>"待实现,开发中,已实现,暂缓"</x:formula1>
    </x:dataValidation>
    <x:dataValidation type="list" sqref="L4:L9">
      <x:formula1>"未执行,通过,失败,阻塞,不适用"</x:formula1>
    </x:dataValidation>
    <x:dataValidation type="list" sqref="M4:M9">
      <x:formula1>"是,否"</x:formula1>
    </x:dataValidation>
    <x:dataValidation type="list" sqref="N4:N9">
      <x:formula1>"阻断,高,中,低,轻微"</x:formula1>
    </x:dataValidation>
    <x:dataValidation type="list" sqref="Q4:Q9">
      <x:formula1>"已完成,待确认,暂不修复"</x:formula1>
    </x:dataValidation>
    <x:dataValidation type="list" sqref="R4:R9">
      <x:formula1>"通过,不通过"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c1e1530793447a"/>
  </x:tableParts>
</x:worksheet>
</file>